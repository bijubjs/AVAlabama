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igermailauburn-my.sharepoint.com/personal/bzm0094_auburn_edu/Documents/AU AV/Collaboration/Musa, N/Choice/Resources/"/>
    </mc:Choice>
  </mc:AlternateContent>
  <xr:revisionPtr revIDLastSave="8" documentId="11_3F0D6ECED1660395CC9050DA886157E82D0A978A" xr6:coauthVersionLast="47" xr6:coauthVersionMax="47" xr10:uidLastSave="{63B44791-D451-8844-AC6C-062B7FFE6D1A}"/>
  <bookViews>
    <workbookView xWindow="-120" yWindow="-120" windowWidth="19440" windowHeight="15150" xr2:uid="{00000000-000D-0000-FFFF-FFFF00000000}"/>
  </bookViews>
  <sheets>
    <sheet name="Paul" sheetId="1" r:id="rId1"/>
    <sheet name="MUS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22" i="2" l="1"/>
  <c r="AM22" i="2"/>
  <c r="AD22" i="2"/>
  <c r="AE22" i="2" s="1"/>
  <c r="AF22" i="2" s="1"/>
  <c r="AC22" i="2"/>
  <c r="T22" i="2"/>
  <c r="R22" i="2"/>
  <c r="AP21" i="2"/>
  <c r="AD21" i="2"/>
  <c r="AE21" i="2" s="1"/>
  <c r="AF21" i="2" s="1"/>
  <c r="AC21" i="2"/>
  <c r="AM21" i="2" s="1"/>
  <c r="T21" i="2"/>
  <c r="R21" i="2"/>
  <c r="N21" i="2"/>
  <c r="K21" i="2"/>
  <c r="AP20" i="2"/>
  <c r="AD20" i="2"/>
  <c r="R20" i="2"/>
  <c r="N20" i="2"/>
  <c r="K20" i="2"/>
  <c r="AP19" i="2"/>
  <c r="AD19" i="2"/>
  <c r="R19" i="2"/>
  <c r="N19" i="2"/>
  <c r="K19" i="2"/>
  <c r="AP18" i="2"/>
  <c r="AD18" i="2"/>
  <c r="R18" i="2"/>
  <c r="N18" i="2"/>
  <c r="K18" i="2"/>
  <c r="AP17" i="2"/>
  <c r="AD17" i="2"/>
  <c r="R17" i="2"/>
  <c r="N17" i="2"/>
  <c r="K17" i="2"/>
  <c r="G17" i="2"/>
  <c r="L17" i="2" s="1"/>
  <c r="AP16" i="2"/>
  <c r="AD16" i="2"/>
  <c r="S16" i="2"/>
  <c r="P16" i="2"/>
  <c r="N16" i="2"/>
  <c r="O16" i="2" s="1"/>
  <c r="M16" i="2"/>
  <c r="K16" i="2"/>
  <c r="AP15" i="2"/>
  <c r="AD15" i="2"/>
  <c r="R15" i="2"/>
  <c r="N15" i="2"/>
  <c r="K15" i="2"/>
  <c r="G15" i="2"/>
  <c r="L15" i="2" s="1"/>
  <c r="AP14" i="2"/>
  <c r="AD14" i="2"/>
  <c r="AE14" i="2" s="1"/>
  <c r="R14" i="2"/>
  <c r="N14" i="2"/>
  <c r="K14" i="2"/>
  <c r="G14" i="2"/>
  <c r="I14" i="2" s="1"/>
  <c r="AP13" i="2"/>
  <c r="AD13" i="2"/>
  <c r="S13" i="2"/>
  <c r="R13" i="2"/>
  <c r="N13" i="2"/>
  <c r="K13" i="2"/>
  <c r="G13" i="2"/>
  <c r="L13" i="2" s="1"/>
  <c r="AP12" i="2"/>
  <c r="AD12" i="2"/>
  <c r="S12" i="2"/>
  <c r="R12" i="2"/>
  <c r="N12" i="2"/>
  <c r="K12" i="2"/>
  <c r="H12" i="2"/>
  <c r="G12" i="2"/>
  <c r="L12" i="2" s="1"/>
  <c r="X11" i="2"/>
  <c r="I9" i="2"/>
  <c r="S8" i="2"/>
  <c r="W11" i="2" s="1"/>
  <c r="I8" i="2"/>
  <c r="G21" i="2" s="1"/>
  <c r="L21" i="2" s="1"/>
  <c r="I7" i="2"/>
  <c r="N5" i="2"/>
  <c r="L22" i="2" s="1"/>
  <c r="X3" i="2"/>
  <c r="AJ2" i="2"/>
  <c r="AI2" i="2"/>
  <c r="AI2" i="1"/>
  <c r="AJ2" i="1"/>
  <c r="N12" i="1"/>
  <c r="R13" i="1"/>
  <c r="R14" i="1"/>
  <c r="R15" i="1"/>
  <c r="R17" i="1"/>
  <c r="R18" i="1"/>
  <c r="R19" i="1"/>
  <c r="R20" i="1"/>
  <c r="R21" i="1"/>
  <c r="R12" i="1"/>
  <c r="AD13" i="1"/>
  <c r="AD14" i="1"/>
  <c r="AD15" i="1"/>
  <c r="AD16" i="1"/>
  <c r="AD17" i="1"/>
  <c r="AD18" i="1"/>
  <c r="AD19" i="1"/>
  <c r="AD20" i="1"/>
  <c r="AC21" i="1"/>
  <c r="AD21" i="1"/>
  <c r="AC22" i="1"/>
  <c r="AM22" i="1" s="1"/>
  <c r="AD22" i="1"/>
  <c r="AE22" i="1" s="1"/>
  <c r="N19" i="1"/>
  <c r="N18" i="1"/>
  <c r="N17" i="1"/>
  <c r="N16" i="1"/>
  <c r="N21" i="1"/>
  <c r="N20" i="1"/>
  <c r="N15" i="1"/>
  <c r="N14" i="1"/>
  <c r="N13" i="1"/>
  <c r="S8" i="1"/>
  <c r="W11" i="1" s="1"/>
  <c r="M16" i="1"/>
  <c r="P16" i="1"/>
  <c r="AD12" i="1"/>
  <c r="X3" i="1"/>
  <c r="U14" i="2"/>
  <c r="P22" i="2" l="1"/>
  <c r="M22" i="2"/>
  <c r="M17" i="2"/>
  <c r="S17" i="2"/>
  <c r="P17" i="2"/>
  <c r="AE13" i="2"/>
  <c r="AQ21" i="2"/>
  <c r="AR21" i="2" s="1"/>
  <c r="AG21" i="2"/>
  <c r="O21" i="2"/>
  <c r="P21" i="2"/>
  <c r="S21" i="2"/>
  <c r="J16" i="2"/>
  <c r="O17" i="2"/>
  <c r="M15" i="2"/>
  <c r="AL15" i="2" s="1"/>
  <c r="S15" i="2"/>
  <c r="P15" i="2"/>
  <c r="S22" i="2"/>
  <c r="P12" i="2"/>
  <c r="O12" i="2"/>
  <c r="M12" i="2"/>
  <c r="AL12" i="2" s="1"/>
  <c r="AC14" i="2"/>
  <c r="AM14" i="2" s="1"/>
  <c r="J14" i="2"/>
  <c r="T14" i="2" s="1"/>
  <c r="AF14" i="2" s="1"/>
  <c r="I12" i="2"/>
  <c r="P13" i="2"/>
  <c r="O13" i="2"/>
  <c r="M13" i="2"/>
  <c r="O15" i="2"/>
  <c r="M21" i="2"/>
  <c r="AG22" i="2"/>
  <c r="AQ22" i="2"/>
  <c r="AR22" i="2" s="1"/>
  <c r="I15" i="2"/>
  <c r="I17" i="2"/>
  <c r="G18" i="2"/>
  <c r="I13" i="2"/>
  <c r="G19" i="2"/>
  <c r="G20" i="2"/>
  <c r="L14" i="2"/>
  <c r="X11" i="1"/>
  <c r="AM21" i="1"/>
  <c r="AE21" i="1"/>
  <c r="T21" i="1"/>
  <c r="T22" i="1"/>
  <c r="I9" i="1"/>
  <c r="K20" i="1"/>
  <c r="K19" i="1"/>
  <c r="K13" i="1"/>
  <c r="K14" i="1"/>
  <c r="K15" i="1"/>
  <c r="K21" i="1"/>
  <c r="K16" i="1"/>
  <c r="K17" i="1"/>
  <c r="K18" i="1"/>
  <c r="K12" i="1"/>
  <c r="AQ14" i="2" l="1"/>
  <c r="AR14" i="2" s="1"/>
  <c r="AG14" i="2"/>
  <c r="O14" i="2"/>
  <c r="S14" i="2"/>
  <c r="M14" i="2"/>
  <c r="AL14" i="2" s="1"/>
  <c r="AN14" i="2" s="1"/>
  <c r="P14" i="2"/>
  <c r="I20" i="2"/>
  <c r="L20" i="2"/>
  <c r="AN12" i="2"/>
  <c r="AF13" i="2"/>
  <c r="L19" i="2"/>
  <c r="I19" i="2"/>
  <c r="AL16" i="2"/>
  <c r="AL21" i="2"/>
  <c r="AN21" i="2" s="1"/>
  <c r="AC13" i="2"/>
  <c r="AM13" i="2" s="1"/>
  <c r="J13" i="2"/>
  <c r="T13" i="2" s="1"/>
  <c r="L18" i="2"/>
  <c r="I18" i="2"/>
  <c r="AL17" i="2"/>
  <c r="AC17" i="2"/>
  <c r="AM17" i="2" s="1"/>
  <c r="J17" i="2"/>
  <c r="T17" i="2" s="1"/>
  <c r="AE17" i="2"/>
  <c r="AF17" i="2" s="1"/>
  <c r="AL22" i="2"/>
  <c r="AN22" i="2" s="1"/>
  <c r="AC15" i="2"/>
  <c r="AM15" i="2" s="1"/>
  <c r="AN15" i="2" s="1"/>
  <c r="J15" i="2"/>
  <c r="T15" i="2" s="1"/>
  <c r="AE15" i="2"/>
  <c r="AL13" i="2"/>
  <c r="AN13" i="2" s="1"/>
  <c r="T16" i="2"/>
  <c r="I16" i="2"/>
  <c r="R16" i="2"/>
  <c r="AC12" i="2"/>
  <c r="AM12" i="2" s="1"/>
  <c r="J12" i="2"/>
  <c r="T12" i="2" s="1"/>
  <c r="AE12" i="2"/>
  <c r="AF12" i="2" s="1"/>
  <c r="AF21" i="1"/>
  <c r="AF22" i="1"/>
  <c r="AG22" i="1" s="1"/>
  <c r="R22" i="1"/>
  <c r="S16" i="1"/>
  <c r="O16" i="1"/>
  <c r="N5" i="1"/>
  <c r="L22" i="1" s="1"/>
  <c r="I8" i="1"/>
  <c r="I7" i="1"/>
  <c r="H12" i="1" s="1"/>
  <c r="AS21" i="2"/>
  <c r="U15" i="2"/>
  <c r="AS12" i="2"/>
  <c r="AS13" i="2"/>
  <c r="AT21" i="2"/>
  <c r="U13" i="2"/>
  <c r="V21" i="2"/>
  <c r="AT15" i="2"/>
  <c r="U17" i="2"/>
  <c r="AS22" i="2"/>
  <c r="U12" i="2"/>
  <c r="V12" i="2"/>
  <c r="V15" i="2"/>
  <c r="AS17" i="2"/>
  <c r="U21" i="2"/>
  <c r="AT12" i="2"/>
  <c r="V17" i="2"/>
  <c r="AT17" i="2"/>
  <c r="V13" i="2"/>
  <c r="AT22" i="2"/>
  <c r="AT13" i="2"/>
  <c r="AS15" i="2"/>
  <c r="AU21" i="2" l="1"/>
  <c r="AU12" i="2"/>
  <c r="AU15" i="2"/>
  <c r="AU17" i="2"/>
  <c r="AV17" i="2" s="1"/>
  <c r="W17" i="2" s="1"/>
  <c r="AI17" i="2" s="1"/>
  <c r="AU13" i="2"/>
  <c r="AV13" i="2" s="1"/>
  <c r="AU22" i="2"/>
  <c r="AV22" i="2" s="1"/>
  <c r="AV21" i="2"/>
  <c r="AW21" i="2" s="1"/>
  <c r="AV15" i="2"/>
  <c r="AQ13" i="2"/>
  <c r="AR13" i="2" s="1"/>
  <c r="AG13" i="2"/>
  <c r="M20" i="2"/>
  <c r="AL20" i="2" s="1"/>
  <c r="O20" i="2"/>
  <c r="S20" i="2"/>
  <c r="P20" i="2"/>
  <c r="AV12" i="2"/>
  <c r="X15" i="2"/>
  <c r="AG17" i="2"/>
  <c r="AQ17" i="2"/>
  <c r="AR17" i="2" s="1"/>
  <c r="AN17" i="2"/>
  <c r="AC18" i="2"/>
  <c r="AM18" i="2" s="1"/>
  <c r="J18" i="2"/>
  <c r="T18" i="2" s="1"/>
  <c r="AE18" i="2"/>
  <c r="AF18" i="2" s="1"/>
  <c r="AC16" i="2"/>
  <c r="AM16" i="2" s="1"/>
  <c r="AE16" i="2"/>
  <c r="AF16" i="2" s="1"/>
  <c r="AN16" i="2"/>
  <c r="O19" i="2"/>
  <c r="S19" i="2"/>
  <c r="P19" i="2"/>
  <c r="M19" i="2"/>
  <c r="AL19" i="2" s="1"/>
  <c r="AF15" i="2"/>
  <c r="AG12" i="2"/>
  <c r="AQ12" i="2"/>
  <c r="AR12" i="2" s="1"/>
  <c r="AF27" i="2"/>
  <c r="AC20" i="2"/>
  <c r="AM20" i="2" s="1"/>
  <c r="J20" i="2"/>
  <c r="T20" i="2" s="1"/>
  <c r="AE20" i="2"/>
  <c r="AF20" i="2" s="1"/>
  <c r="X17" i="2"/>
  <c r="M18" i="2"/>
  <c r="AL18" i="2" s="1"/>
  <c r="AN18" i="2" s="1"/>
  <c r="O18" i="2"/>
  <c r="P18" i="2"/>
  <c r="S18" i="2"/>
  <c r="J19" i="2"/>
  <c r="T19" i="2" s="1"/>
  <c r="AC19" i="2"/>
  <c r="AM19" i="2" s="1"/>
  <c r="AE19" i="2"/>
  <c r="AQ21" i="1"/>
  <c r="AQ22" i="1"/>
  <c r="AG21" i="1"/>
  <c r="G15" i="1"/>
  <c r="L15" i="1" s="1"/>
  <c r="G20" i="1"/>
  <c r="G19" i="1"/>
  <c r="S22" i="1"/>
  <c r="M22" i="1"/>
  <c r="P22" i="1"/>
  <c r="G13" i="1"/>
  <c r="G21" i="1"/>
  <c r="L21" i="1" s="1"/>
  <c r="G12" i="1"/>
  <c r="L12" i="1" s="1"/>
  <c r="G18" i="1"/>
  <c r="L18" i="1" s="1"/>
  <c r="G17" i="1"/>
  <c r="I17" i="1" s="1"/>
  <c r="G14" i="1"/>
  <c r="AT16" i="2"/>
  <c r="AS14" i="2"/>
  <c r="AS22" i="1"/>
  <c r="AS16" i="2"/>
  <c r="V16" i="2"/>
  <c r="V14" i="2"/>
  <c r="U16" i="2"/>
  <c r="AT22" i="1"/>
  <c r="AT14" i="2"/>
  <c r="W15" i="2" l="1"/>
  <c r="AI15" i="2" s="1"/>
  <c r="AW22" i="2"/>
  <c r="AU16" i="2"/>
  <c r="AV16" i="2" s="1"/>
  <c r="AU14" i="2"/>
  <c r="AV14" i="2" s="1"/>
  <c r="W21" i="2"/>
  <c r="AI21" i="2" s="1"/>
  <c r="AW15" i="2"/>
  <c r="AY15" i="2" s="1"/>
  <c r="AW17" i="2"/>
  <c r="AX17" i="2" s="1"/>
  <c r="AW12" i="2"/>
  <c r="X21" i="2"/>
  <c r="Y21" i="2" s="1"/>
  <c r="AJ21" i="2" s="1"/>
  <c r="X12" i="2"/>
  <c r="W12" i="2"/>
  <c r="AI12" i="2" s="1"/>
  <c r="AQ15" i="2"/>
  <c r="AR15" i="2" s="1"/>
  <c r="AG15" i="2"/>
  <c r="AX15" i="2"/>
  <c r="AQ16" i="2"/>
  <c r="AR16" i="2" s="1"/>
  <c r="AG16" i="2"/>
  <c r="X13" i="2"/>
  <c r="W13" i="2"/>
  <c r="AI13" i="2" s="1"/>
  <c r="AG20" i="2"/>
  <c r="AQ20" i="2"/>
  <c r="AR20" i="2" s="1"/>
  <c r="AY12" i="2"/>
  <c r="AX12" i="2"/>
  <c r="AN19" i="2"/>
  <c r="AQ18" i="2"/>
  <c r="AR18" i="2" s="1"/>
  <c r="AG18" i="2"/>
  <c r="AN20" i="2"/>
  <c r="W22" i="2"/>
  <c r="AI22" i="2" s="1"/>
  <c r="X22" i="2"/>
  <c r="AF19" i="2"/>
  <c r="AW13" i="2"/>
  <c r="AX21" i="2"/>
  <c r="AY21" i="2"/>
  <c r="AU22" i="1"/>
  <c r="AV22" i="1" s="1"/>
  <c r="AC17" i="1"/>
  <c r="AM17" i="1" s="1"/>
  <c r="AE17" i="1"/>
  <c r="P15" i="1"/>
  <c r="M15" i="1"/>
  <c r="P21" i="1"/>
  <c r="M21" i="1"/>
  <c r="J16" i="1"/>
  <c r="I12" i="1"/>
  <c r="L20" i="1"/>
  <c r="I20" i="1"/>
  <c r="I15" i="1"/>
  <c r="P12" i="1"/>
  <c r="M12" i="1"/>
  <c r="I19" i="1"/>
  <c r="L19" i="1"/>
  <c r="M18" i="1"/>
  <c r="P18" i="1"/>
  <c r="S18" i="1"/>
  <c r="O18" i="1"/>
  <c r="S12" i="1"/>
  <c r="O12" i="1"/>
  <c r="O21" i="1"/>
  <c r="S21" i="1"/>
  <c r="S15" i="1"/>
  <c r="O15" i="1"/>
  <c r="I18" i="1"/>
  <c r="I13" i="1"/>
  <c r="L13" i="1"/>
  <c r="J17" i="1"/>
  <c r="L17" i="1"/>
  <c r="L14" i="1"/>
  <c r="I14" i="1"/>
  <c r="U20" i="2"/>
  <c r="V20" i="2"/>
  <c r="AT19" i="2"/>
  <c r="U18" i="2"/>
  <c r="U19" i="2"/>
  <c r="AS20" i="2"/>
  <c r="AT20" i="2"/>
  <c r="AT21" i="1"/>
  <c r="AS19" i="2"/>
  <c r="AT18" i="2"/>
  <c r="AS18" i="2"/>
  <c r="V18" i="2"/>
  <c r="V19" i="2"/>
  <c r="X14" i="2" l="1"/>
  <c r="Y14" i="2" s="1"/>
  <c r="AJ14" i="2" s="1"/>
  <c r="W14" i="2"/>
  <c r="AI14" i="2" s="1"/>
  <c r="Y22" i="2"/>
  <c r="AJ22" i="2" s="1"/>
  <c r="Y12" i="2"/>
  <c r="AJ12" i="2" s="1"/>
  <c r="Y17" i="2"/>
  <c r="AJ17" i="2" s="1"/>
  <c r="AY17" i="2"/>
  <c r="AU20" i="2"/>
  <c r="AV20" i="2" s="1"/>
  <c r="AU18" i="2"/>
  <c r="AV18" i="2" s="1"/>
  <c r="AU19" i="2"/>
  <c r="AW14" i="2"/>
  <c r="AY14" i="2" s="1"/>
  <c r="Y13" i="2"/>
  <c r="AJ13" i="2" s="1"/>
  <c r="Y15" i="2"/>
  <c r="AJ15" i="2" s="1"/>
  <c r="AV19" i="2"/>
  <c r="AW19" i="2" s="1"/>
  <c r="AQ19" i="2"/>
  <c r="AR19" i="2" s="1"/>
  <c r="AG19" i="2"/>
  <c r="AY13" i="2"/>
  <c r="AX13" i="2"/>
  <c r="X16" i="2"/>
  <c r="Y16" i="2" s="1"/>
  <c r="AJ16" i="2" s="1"/>
  <c r="W16" i="2"/>
  <c r="AI16" i="2" s="1"/>
  <c r="AW16" i="2"/>
  <c r="X22" i="1"/>
  <c r="W22" i="1"/>
  <c r="AI22" i="1" s="1"/>
  <c r="AU21" i="1"/>
  <c r="AL18" i="1"/>
  <c r="T16" i="1"/>
  <c r="R16" i="1"/>
  <c r="AL21" i="1"/>
  <c r="AN21" i="1" s="1"/>
  <c r="AL16" i="1"/>
  <c r="AL12" i="1"/>
  <c r="AL15" i="1"/>
  <c r="AL22" i="1"/>
  <c r="AN22" i="1" s="1"/>
  <c r="J15" i="1"/>
  <c r="T15" i="1" s="1"/>
  <c r="AC15" i="1"/>
  <c r="AM15" i="1" s="1"/>
  <c r="AE15" i="1"/>
  <c r="J19" i="1"/>
  <c r="T19" i="1" s="1"/>
  <c r="AC19" i="1"/>
  <c r="AM19" i="1" s="1"/>
  <c r="AE19" i="1"/>
  <c r="J18" i="1"/>
  <c r="AC18" i="1"/>
  <c r="AM18" i="1" s="1"/>
  <c r="AE18" i="1"/>
  <c r="J20" i="1"/>
  <c r="T20" i="1" s="1"/>
  <c r="AC20" i="1"/>
  <c r="AM20" i="1" s="1"/>
  <c r="AE20" i="1"/>
  <c r="J13" i="1"/>
  <c r="T13" i="1" s="1"/>
  <c r="AC13" i="1"/>
  <c r="AM13" i="1" s="1"/>
  <c r="AE13" i="1"/>
  <c r="J14" i="1"/>
  <c r="T14" i="1" s="1"/>
  <c r="AE14" i="1"/>
  <c r="AF14" i="1" s="1"/>
  <c r="AG14" i="1" s="1"/>
  <c r="AC14" i="1"/>
  <c r="AM14" i="1" s="1"/>
  <c r="J12" i="1"/>
  <c r="AC12" i="1"/>
  <c r="AM12" i="1" s="1"/>
  <c r="AE12" i="1"/>
  <c r="P19" i="1"/>
  <c r="M19" i="1"/>
  <c r="AL19" i="1" s="1"/>
  <c r="S19" i="1"/>
  <c r="O19" i="1"/>
  <c r="P20" i="1"/>
  <c r="M20" i="1"/>
  <c r="AL20" i="1" s="1"/>
  <c r="S20" i="1"/>
  <c r="O20" i="1"/>
  <c r="P13" i="1"/>
  <c r="M13" i="1"/>
  <c r="AL13" i="1" s="1"/>
  <c r="P14" i="1"/>
  <c r="M14" i="1"/>
  <c r="AL14" i="1" s="1"/>
  <c r="T17" i="1"/>
  <c r="AF17" i="1" s="1"/>
  <c r="AG17" i="1" s="1"/>
  <c r="M17" i="1"/>
  <c r="AL17" i="1" s="1"/>
  <c r="AN17" i="1" s="1"/>
  <c r="P17" i="1"/>
  <c r="I16" i="1"/>
  <c r="O17" i="1"/>
  <c r="S17" i="1"/>
  <c r="S14" i="1"/>
  <c r="O14" i="1"/>
  <c r="S13" i="1"/>
  <c r="O13" i="1"/>
  <c r="U21" i="1"/>
  <c r="AT13" i="1"/>
  <c r="AS15" i="1"/>
  <c r="AT19" i="1"/>
  <c r="AT20" i="1"/>
  <c r="AT17" i="1"/>
  <c r="V21" i="1"/>
  <c r="AT15" i="1"/>
  <c r="U15" i="1"/>
  <c r="AS20" i="1"/>
  <c r="AT16" i="1"/>
  <c r="V15" i="1"/>
  <c r="AT14" i="1"/>
  <c r="AS14" i="1"/>
  <c r="AS13" i="1"/>
  <c r="AS19" i="1"/>
  <c r="AS21" i="1"/>
  <c r="W20" i="2" l="1"/>
  <c r="AI20" i="2" s="1"/>
  <c r="X20" i="2"/>
  <c r="Y20" i="2" s="1"/>
  <c r="AJ20" i="2" s="1"/>
  <c r="AX14" i="2"/>
  <c r="AW20" i="2"/>
  <c r="AX20" i="2" s="1"/>
  <c r="W19" i="2"/>
  <c r="AI19" i="2" s="1"/>
  <c r="X19" i="2"/>
  <c r="Y19" i="2" s="1"/>
  <c r="AJ19" i="2" s="1"/>
  <c r="AX19" i="2"/>
  <c r="AY19" i="2"/>
  <c r="AY16" i="2"/>
  <c r="AX16" i="2"/>
  <c r="W18" i="2"/>
  <c r="AI18" i="2" s="1"/>
  <c r="X18" i="2"/>
  <c r="Y18" i="2" s="1"/>
  <c r="AJ18" i="2" s="1"/>
  <c r="AW18" i="2"/>
  <c r="AV21" i="1"/>
  <c r="W21" i="1" s="1"/>
  <c r="AI21" i="1" s="1"/>
  <c r="AF19" i="1"/>
  <c r="AG19" i="1" s="1"/>
  <c r="AF20" i="1"/>
  <c r="AG20" i="1" s="1"/>
  <c r="AF13" i="1"/>
  <c r="AG13" i="1" s="1"/>
  <c r="AF15" i="1"/>
  <c r="AG15" i="1" s="1"/>
  <c r="AU20" i="1"/>
  <c r="AV20" i="1" s="1"/>
  <c r="AU19" i="1"/>
  <c r="AV19" i="1" s="1"/>
  <c r="AU16" i="1"/>
  <c r="AU13" i="1"/>
  <c r="AV13" i="1" s="1"/>
  <c r="AU15" i="1"/>
  <c r="AV15" i="1" s="1"/>
  <c r="AU17" i="1"/>
  <c r="AU14" i="1"/>
  <c r="AV14" i="1" s="1"/>
  <c r="AN14" i="1"/>
  <c r="AN18" i="1"/>
  <c r="AN19" i="1"/>
  <c r="T12" i="1"/>
  <c r="AF12" i="1" s="1"/>
  <c r="AF27" i="1" s="1"/>
  <c r="T18" i="1"/>
  <c r="AF18" i="1" s="1"/>
  <c r="AG18" i="1" s="1"/>
  <c r="AN13" i="1"/>
  <c r="AN20" i="1"/>
  <c r="AN15" i="1"/>
  <c r="AN12" i="1"/>
  <c r="AC16" i="1"/>
  <c r="AM16" i="1" s="1"/>
  <c r="AN16" i="1" s="1"/>
  <c r="AE16" i="1"/>
  <c r="AQ14" i="1"/>
  <c r="AQ17" i="1"/>
  <c r="AS16" i="1"/>
  <c r="AT12" i="1"/>
  <c r="AS17" i="1"/>
  <c r="AS12" i="1"/>
  <c r="AY20" i="2" l="1"/>
  <c r="AW22" i="1"/>
  <c r="AX18" i="2"/>
  <c r="AY18" i="2"/>
  <c r="X21" i="1"/>
  <c r="Y21" i="1" s="1"/>
  <c r="AW21" i="1"/>
  <c r="AX21" i="1" s="1"/>
  <c r="AV16" i="1"/>
  <c r="AQ19" i="1"/>
  <c r="AQ15" i="1"/>
  <c r="AV17" i="1"/>
  <c r="AQ20" i="1"/>
  <c r="AS18" i="1"/>
  <c r="AT18" i="1"/>
  <c r="V12" i="1"/>
  <c r="U18" i="1"/>
  <c r="Y22" i="1" l="1"/>
  <c r="AY21" i="1"/>
  <c r="X17" i="1"/>
  <c r="Y17" i="1" s="1"/>
  <c r="W17" i="1"/>
  <c r="AI17" i="1" s="1"/>
  <c r="X19" i="1"/>
  <c r="Y19" i="1" s="1"/>
  <c r="W19" i="1"/>
  <c r="AI19" i="1" s="1"/>
  <c r="X15" i="1"/>
  <c r="Y15" i="1" s="1"/>
  <c r="W15" i="1"/>
  <c r="AI15" i="1" s="1"/>
  <c r="X20" i="1"/>
  <c r="Y20" i="1" s="1"/>
  <c r="W20" i="1"/>
  <c r="AI20" i="1" s="1"/>
  <c r="X13" i="1"/>
  <c r="Y13" i="1" s="1"/>
  <c r="W13" i="1"/>
  <c r="AI13" i="1" s="1"/>
  <c r="X14" i="1"/>
  <c r="Y14" i="1" s="1"/>
  <c r="W14" i="1"/>
  <c r="AI14" i="1" s="1"/>
  <c r="X16" i="1"/>
  <c r="Y16" i="1" s="1"/>
  <c r="W16" i="1"/>
  <c r="AI16" i="1" s="1"/>
  <c r="AG12" i="1"/>
  <c r="AQ12" i="1"/>
  <c r="AF16" i="1"/>
  <c r="AG16" i="1" s="1"/>
  <c r="AQ13" i="1"/>
  <c r="AW17" i="1"/>
  <c r="AW19" i="1"/>
  <c r="AW13" i="1"/>
  <c r="AW15" i="1"/>
  <c r="AW20" i="1"/>
  <c r="AW16" i="1"/>
  <c r="AW14" i="1"/>
  <c r="AU18" i="1"/>
  <c r="AV18" i="1" s="1"/>
  <c r="W18" i="1" s="1"/>
  <c r="AI18" i="1" s="1"/>
  <c r="AU12" i="1"/>
  <c r="AV12" i="1" s="1"/>
  <c r="AQ18" i="1"/>
  <c r="U17" i="1"/>
  <c r="U13" i="1"/>
  <c r="U14" i="1"/>
  <c r="V18" i="1"/>
  <c r="V19" i="1"/>
  <c r="U12" i="1"/>
  <c r="U19" i="1"/>
  <c r="V13" i="1"/>
  <c r="V14" i="1"/>
  <c r="V16" i="1"/>
  <c r="U16" i="1"/>
  <c r="AX20" i="1" l="1"/>
  <c r="AY20" i="1"/>
  <c r="AX17" i="1"/>
  <c r="AY17" i="1"/>
  <c r="AX16" i="1"/>
  <c r="AY16" i="1"/>
  <c r="AX15" i="1"/>
  <c r="AY15" i="1"/>
  <c r="AX19" i="1"/>
  <c r="AY19" i="1"/>
  <c r="AX14" i="1"/>
  <c r="AY14" i="1"/>
  <c r="AX13" i="1"/>
  <c r="AY13" i="1"/>
  <c r="AW12" i="1"/>
  <c r="W12" i="1"/>
  <c r="AI12" i="1" s="1"/>
  <c r="AQ16" i="1"/>
  <c r="AJ15" i="1"/>
  <c r="AJ22" i="1"/>
  <c r="X18" i="1"/>
  <c r="Y18" i="1" s="1"/>
  <c r="AW18" i="1"/>
  <c r="X12" i="1"/>
  <c r="Y12" i="1" s="1"/>
  <c r="AP22" i="1"/>
  <c r="AR22" i="1" s="1"/>
  <c r="AP21" i="1"/>
  <c r="AR21" i="1" s="1"/>
  <c r="AP15" i="1"/>
  <c r="AR15" i="1" s="1"/>
  <c r="AJ21" i="1"/>
  <c r="V20" i="1"/>
  <c r="U20" i="1"/>
  <c r="V17" i="1"/>
  <c r="AX12" i="1" l="1"/>
  <c r="AY12" i="1"/>
  <c r="AX18" i="1"/>
  <c r="AY18" i="1"/>
  <c r="AP18" i="1"/>
  <c r="AR18" i="1" s="1"/>
  <c r="AJ18" i="1"/>
  <c r="AP14" i="1" l="1"/>
  <c r="AR14" i="1" s="1"/>
  <c r="AJ14" i="1"/>
  <c r="AP12" i="1"/>
  <c r="AR12" i="1" s="1"/>
  <c r="AJ12" i="1"/>
  <c r="AP16" i="1"/>
  <c r="AR16" i="1" s="1"/>
  <c r="AJ16" i="1"/>
  <c r="AP17" i="1"/>
  <c r="AR17" i="1" s="1"/>
  <c r="AJ17" i="1"/>
  <c r="AP19" i="1"/>
  <c r="AR19" i="1" s="1"/>
  <c r="AJ19" i="1"/>
  <c r="AP13" i="1"/>
  <c r="AR13" i="1" s="1"/>
  <c r="AJ13" i="1"/>
  <c r="AP20" i="1" l="1"/>
  <c r="AR20" i="1" s="1"/>
  <c r="AJ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tc={6E163352-8116-40D6-B7EF-DEA54C229CEE}</author>
    <author>tc={4D89B197-0E02-4ABA-B452-482E29530BAE}</author>
    <author>tc={71006806-CC3F-4BEC-8EAC-361D50C4AB71}</author>
    <author>tc={8185CA16-7011-4BD3-8B3E-8A8A2859FC87}</author>
    <author>tc={0A1BE416-78B0-4F20-965F-7B8B04E2FB87}</author>
  </authors>
  <commentList>
    <comment ref="R1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$265/acre-yr from https://www.mdpi.com/2071-1050/15/7/5895</t>
      </text>
    </comment>
    <comment ref="AE11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(when it doent change) is comparable to ANPV</t>
      </text>
    </comment>
    <comment ref="AI11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each year is comparable to 
ANPV</t>
      </text>
    </comment>
    <comment ref="N12" authorId="3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Interpolated from Ramasamy and PV cost database</t>
      </text>
    </comment>
    <comment ref="N17" authorId="4" shapeId="0" xr:uid="{00000000-0006-0000-00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double cost for structural mount from Ramasamy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tc={04F72288-0525-174B-8E11-D4CD98D5AFAA}</author>
    <author>tc={78744CE1-DE1C-E447-871D-3B956A73963C}</author>
    <author>tc={711F114F-11E4-1442-9C19-00A2AFC7F4E6}</author>
    <author>tc={0EE2197E-3BF0-0F4D-9D2F-4ED7E4CC71A3}</author>
    <author>tc={FA6B02AD-73C2-5349-9222-D0D8F7509B4A}</author>
  </authors>
  <commentList>
    <comment ref="R11" authorId="0" shapeId="0" xr:uid="{04F72288-0525-174B-8E11-D4CD98D5AFAA}">
      <text>
        <t>[Threaded comment]
Your version of Excel allows you to read this threaded comment; however, any edits to it will get removed if the file is opened in a newer version of Excel. Learn more: https://go.microsoft.com/fwlink/?linkid=870924
Comment:
    $265/acre-yr from https://www.mdpi.com/2071-1050/15/7/5895</t>
      </text>
    </comment>
    <comment ref="AE11" authorId="1" shapeId="0" xr:uid="{78744CE1-DE1C-E447-871D-3B956A73963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(when it doent change) is comparable to ANPV</t>
      </text>
    </comment>
    <comment ref="AI11" authorId="2" shapeId="0" xr:uid="{711F114F-11E4-1442-9C19-00A2AFC7F4E6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each year is comparable to 
ANPV</t>
      </text>
    </comment>
    <comment ref="N12" authorId="3" shapeId="0" xr:uid="{0EE2197E-3BF0-0F4D-9D2F-4ED7E4CC71A3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Interpolated from Ramasamy and PV cost database</t>
      </text>
    </comment>
    <comment ref="N17" authorId="4" shapeId="0" xr:uid="{FA6B02AD-73C2-5349-9222-D0D8F7509B4A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double cost for structural mount from Ramasamy</t>
      </text>
    </comment>
  </commentList>
</comments>
</file>

<file path=xl/sharedStrings.xml><?xml version="1.0" encoding="utf-8"?>
<sst xmlns="http://schemas.openxmlformats.org/spreadsheetml/2006/main" count="298" uniqueCount="123">
  <si>
    <t>Assumptions</t>
  </si>
  <si>
    <t>Crops will not be grown directly underneath panels, only between rows</t>
  </si>
  <si>
    <t>Field dimension is 80 acres (1/8 section, 2640 x 1320 feet)</t>
  </si>
  <si>
    <t>30 ft buffer area from fence to PV panels needed for fire break/electrical code</t>
  </si>
  <si>
    <t>Tracker length dictates amount of panels in row, each row is 396ft long</t>
  </si>
  <si>
    <t>Need 10 ft in between rows for vehicle access</t>
  </si>
  <si>
    <t>AV reference</t>
  </si>
  <si>
    <t>Automated Equipment</t>
  </si>
  <si>
    <t>Reference - Medium PV Density</t>
  </si>
  <si>
    <t>Reference - High PV Density</t>
  </si>
  <si>
    <t>PV module specs</t>
  </si>
  <si>
    <t>Width</t>
  </si>
  <si>
    <t>Output</t>
  </si>
  <si>
    <t>W</t>
  </si>
  <si>
    <t>ft</t>
  </si>
  <si>
    <t xml:space="preserve">Each panel is rated for 545W and bifacial </t>
  </si>
  <si>
    <t>CAPEX ($/W)</t>
  </si>
  <si>
    <t>Install Cost</t>
  </si>
  <si>
    <t>PV Spacing (ft) - distance between PV supports</t>
  </si>
  <si>
    <t>Panel Height at Tracker (ft)</t>
  </si>
  <si>
    <t>Crops only</t>
  </si>
  <si>
    <t>Height</t>
  </si>
  <si>
    <t>Field dimension with PV edge buffer</t>
  </si>
  <si>
    <t xml:space="preserve">ft </t>
  </si>
  <si>
    <t>PV Edge Buffer</t>
  </si>
  <si>
    <t>tracker length</t>
  </si>
  <si>
    <t>row access</t>
  </si>
  <si>
    <t>project size</t>
  </si>
  <si>
    <t>acres</t>
  </si>
  <si>
    <t>PV Capacity per tracker row</t>
  </si>
  <si>
    <t>kW</t>
  </si>
  <si>
    <t>Farming Width between PV rows (ft)</t>
  </si>
  <si>
    <t>Reference</t>
  </si>
  <si>
    <t>Split crops and Utility PV</t>
  </si>
  <si>
    <t>Utility PV</t>
  </si>
  <si>
    <t>AV Reference w/ Raised Panels</t>
  </si>
  <si>
    <t>AV Reference w/ ever other panel removed</t>
  </si>
  <si>
    <t>Raised</t>
  </si>
  <si>
    <t>Ag Control</t>
  </si>
  <si>
    <t>PV Control</t>
  </si>
  <si>
    <t>Ag/PV Split</t>
  </si>
  <si>
    <t>Automated</t>
  </si>
  <si>
    <t>Non-crop Area (acre)</t>
  </si>
  <si>
    <t>Crop Area (acre)</t>
  </si>
  <si>
    <t>Farm equpiment buffer to panels (ft)</t>
  </si>
  <si>
    <t># PV rows (x)</t>
  </si>
  <si>
    <t># of PV rows (y)</t>
  </si>
  <si>
    <t>Raised Half Shade</t>
  </si>
  <si>
    <t>Scenario Description</t>
  </si>
  <si>
    <t>Scenario Short</t>
  </si>
  <si>
    <t>PV GCR</t>
  </si>
  <si>
    <t>Champaign generation</t>
  </si>
  <si>
    <t>kWh/kW</t>
  </si>
  <si>
    <t>Transmission cost ($/yr)</t>
  </si>
  <si>
    <t>PV Capacity (MW)</t>
  </si>
  <si>
    <t>Yearly veg cost for non-crop acreage ($/yr)</t>
  </si>
  <si>
    <t>AV High PV Density</t>
  </si>
  <si>
    <t>AV Medium PV Density</t>
  </si>
  <si>
    <t>Area lost to edge buffer</t>
  </si>
  <si>
    <t>Reference buffer farming</t>
  </si>
  <si>
    <t xml:space="preserve">Design is 1 potrait and 7.75x3.5 ft  panels </t>
  </si>
  <si>
    <t>Optimistic</t>
  </si>
  <si>
    <t>AV reference with farming in buffer</t>
  </si>
  <si>
    <t>Utility scale farming underpanels, farming all available land, night farming/stowing panels, automated equipment</t>
  </si>
  <si>
    <t>Lease Payment Non-Crop Area</t>
  </si>
  <si>
    <t>assumption - Ramasamy 2023</t>
  </si>
  <si>
    <t>years</t>
  </si>
  <si>
    <t>Soybean_yield (B/acre)</t>
  </si>
  <si>
    <t>T</t>
  </si>
  <si>
    <t>Project life</t>
  </si>
  <si>
    <t>assumption</t>
  </si>
  <si>
    <t>Soybean_price ($/B)</t>
  </si>
  <si>
    <t>\Inf</t>
  </si>
  <si>
    <t>Inflation rate (%/year)</t>
  </si>
  <si>
    <t>Soybean_Var ($/B)</t>
  </si>
  <si>
    <t>\delta</t>
  </si>
  <si>
    <t>Real discount rate (%/year)</t>
  </si>
  <si>
    <t>reV model</t>
  </si>
  <si>
    <t>Soybean_Fixed ($/acre)</t>
  </si>
  <si>
    <t>D</t>
  </si>
  <si>
    <t>Gen degredation</t>
  </si>
  <si>
    <t>assumption (LBNL)</t>
  </si>
  <si>
    <t>NREL 2021</t>
  </si>
  <si>
    <t>LCOE ($/MWh)</t>
  </si>
  <si>
    <t>LCOE+T ($/MWh)</t>
  </si>
  <si>
    <t>Crop output (B/year)</t>
  </si>
  <si>
    <t>Crop profit ($/acre)</t>
  </si>
  <si>
    <t>Crop profit ($/project)</t>
  </si>
  <si>
    <t>AV profit ($/acre)</t>
  </si>
  <si>
    <t>PV generation (MWh/yr)</t>
  </si>
  <si>
    <t>OPEX ($/Yr)</t>
  </si>
  <si>
    <t>utility scale CAPEX</t>
  </si>
  <si>
    <t>OPEX ($/kW-yr)</t>
  </si>
  <si>
    <t>Trans ($/MWh)</t>
  </si>
  <si>
    <t>PPA Price ($/MWh)</t>
  </si>
  <si>
    <t>REC ($/MWh)</t>
  </si>
  <si>
    <t>PPA Price (nominal)</t>
  </si>
  <si>
    <t>cents/kWh</t>
  </si>
  <si>
    <t>assumption - Ramasamy 2023, double cost of mount</t>
  </si>
  <si>
    <t>Raised panel CAPEX ($/W) 8ft</t>
  </si>
  <si>
    <t>Raised panel CAPEX ($/W) 12ft</t>
  </si>
  <si>
    <t>Crop profit with land lease ($/project/year)</t>
  </si>
  <si>
    <t>per acre gain in payments for developer compared to utility($/project/acre/year)</t>
  </si>
  <si>
    <t>per acre gain in payments for farmer compared to commercial farm ($/project/acre/year)</t>
  </si>
  <si>
    <t>Net benefit for social planner  ($/project/acre/year)</t>
  </si>
  <si>
    <t>LER_PV</t>
  </si>
  <si>
    <t>LER_CF</t>
  </si>
  <si>
    <t>Cumulative LER</t>
  </si>
  <si>
    <t>LER in production</t>
  </si>
  <si>
    <t>LER in profits</t>
  </si>
  <si>
    <t>Developer pays for veg cost</t>
  </si>
  <si>
    <t>No</t>
  </si>
  <si>
    <t>yes</t>
  </si>
  <si>
    <t>NPV costs</t>
  </si>
  <si>
    <t>NPV gen</t>
  </si>
  <si>
    <t>NPV rev</t>
  </si>
  <si>
    <t>NPV</t>
  </si>
  <si>
    <t>PVIFA</t>
  </si>
  <si>
    <t>Present Value Interest Factor of Annuity</t>
  </si>
  <si>
    <t>BE CAPEX as a percentage of Utility CAPEX ($/W)</t>
  </si>
  <si>
    <t>BE Capex ($/W)</t>
  </si>
  <si>
    <t>BE CAPEX as a percentage decrease from AV CAPEX ($/W)</t>
  </si>
  <si>
    <t>Proof that ANPV is the same as single year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</si>
</sst>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2"/>
    <xf numFmtId="2" fontId="0" fillId="0" borderId="0" xfId="0" applyNumberFormat="1"/>
    <xf numFmtId="0" fontId="2" fillId="0" borderId="0" xfId="0" applyFont="1" applyAlignment="1">
      <alignment wrapText="1"/>
    </xf>
    <xf numFmtId="0" fontId="4" fillId="0" borderId="0" xfId="0" applyFont="1"/>
    <xf numFmtId="164" fontId="0" fillId="0" borderId="0" xfId="1" applyNumberFormat="1" applyFont="1"/>
    <xf numFmtId="0" fontId="5" fillId="0" borderId="0" xfId="0" applyFont="1"/>
    <xf numFmtId="0" fontId="2" fillId="2" borderId="0" xfId="0" applyFont="1" applyFill="1" applyAlignment="1">
      <alignment wrapText="1"/>
    </xf>
    <xf numFmtId="2" fontId="0" fillId="2" borderId="0" xfId="0" applyNumberFormat="1" applyFill="1"/>
    <xf numFmtId="0" fontId="6" fillId="0" borderId="0" xfId="0" applyFont="1"/>
    <xf numFmtId="0" fontId="0" fillId="0" borderId="0" xfId="0" applyAlignment="1">
      <alignment horizontal="left" vertical="top" indent="3"/>
    </xf>
    <xf numFmtId="0" fontId="1" fillId="0" borderId="0" xfId="0" applyFont="1"/>
    <xf numFmtId="0" fontId="0" fillId="0" borderId="1" xfId="0" applyBorder="1" applyAlignment="1">
      <alignment horizontal="left" indent="1"/>
    </xf>
    <xf numFmtId="2" fontId="1" fillId="0" borderId="0" xfId="0" applyNumberFormat="1" applyFont="1" applyAlignment="1">
      <alignment horizontal="left" indent="1"/>
    </xf>
    <xf numFmtId="0" fontId="7" fillId="0" borderId="0" xfId="0" applyFont="1"/>
    <xf numFmtId="0" fontId="8" fillId="0" borderId="0" xfId="0" applyFont="1" applyAlignment="1">
      <alignment wrapText="1"/>
    </xf>
    <xf numFmtId="43" fontId="0" fillId="0" borderId="0" xfId="0" applyNumberFormat="1"/>
    <xf numFmtId="43" fontId="0" fillId="0" borderId="0" xfId="3" applyFont="1"/>
    <xf numFmtId="165" fontId="0" fillId="0" borderId="0" xfId="3" applyNumberFormat="1" applyFont="1" applyFill="1"/>
    <xf numFmtId="43" fontId="0" fillId="4" borderId="0" xfId="0" applyNumberFormat="1" applyFill="1"/>
    <xf numFmtId="0" fontId="0" fillId="3" borderId="0" xfId="0" applyFill="1"/>
    <xf numFmtId="0" fontId="8" fillId="4" borderId="0" xfId="0" applyFont="1" applyFill="1" applyAlignment="1">
      <alignment wrapText="1"/>
    </xf>
    <xf numFmtId="0" fontId="0" fillId="3" borderId="0" xfId="0" applyFill="1" applyAlignment="1">
      <alignment wrapText="1"/>
    </xf>
    <xf numFmtId="39" fontId="0" fillId="5" borderId="0" xfId="0" applyNumberFormat="1" applyFill="1"/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43" fontId="0" fillId="6" borderId="0" xfId="3" applyFont="1" applyFill="1"/>
    <xf numFmtId="0" fontId="0" fillId="6" borderId="0" xfId="0" applyFill="1"/>
    <xf numFmtId="0" fontId="2" fillId="7" borderId="0" xfId="0" applyFont="1" applyFill="1" applyAlignment="1">
      <alignment wrapText="1"/>
    </xf>
    <xf numFmtId="10" fontId="0" fillId="0" borderId="0" xfId="0" applyNumberFormat="1"/>
    <xf numFmtId="8" fontId="0" fillId="0" borderId="0" xfId="0" applyNumberFormat="1"/>
    <xf numFmtId="0" fontId="9" fillId="0" borderId="0" xfId="0" applyFont="1" applyAlignment="1">
      <alignment wrapText="1"/>
    </xf>
    <xf numFmtId="0" fontId="0" fillId="0" borderId="0" xfId="0" applyAlignment="1">
      <alignment horizontal="center"/>
    </xf>
  </cellXfs>
  <cellStyles count="4">
    <cellStyle name="Comma" xfId="3" builtinId="3"/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253755</xdr:colOff>
      <xdr:row>4</xdr:row>
      <xdr:rowOff>388188</xdr:rowOff>
    </xdr:from>
    <xdr:ext cx="7339852" cy="556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0" i="1">
                      <a:latin typeface="Cambria Math" panose="02040503050406030204" pitchFamily="18" charset="0"/>
                    </a:rPr>
                    <m:t>𝐿𝐶𝑂𝐸</m:t>
                  </m:r>
                  <m:r>
                    <a:rPr lang="en-US" sz="20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𝐶𝐴𝑃𝐸𝑋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𝑂𝑃𝐸𝑋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𝐿𝑒𝑎𝑠𝑒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𝑇𝑟𝑎𝑛𝑠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</m:e>
                          </m:d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𝐼𝑛𝑓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=1…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|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𝛿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𝑀𝑊h</m:t>
                              </m:r>
                            </m:e>
                            <m: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</m:sub>
                          </m:sSub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1−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=1..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latin typeface="Cambria Math" panose="02040503050406030204" pitchFamily="18" charset="0"/>
                        </a:rPr>
                        <m:t>|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𝛿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en-US" sz="2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>
                  <a:latin typeface="Cambria Math" panose="02040503050406030204" pitchFamily="18" charset="0"/>
                </a:rPr>
                <a:t>𝐿𝐶𝑂𝐸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(𝐶𝐴𝑃𝐸𝑋+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𝑁𝑃𝑉([〖𝑂𝑃𝐸𝑋〗_𝑖+〖𝐿𝑒𝑎𝑠𝑒〗_𝑖+〖𝑇𝑟𝑎𝑛𝑠〗_𝑖 ]∗(1+𝐼𝑛𝑓)^(𝑖−1), ∀𝑖=1…𝑇)|𝛿,𝑇))/(</a:t>
              </a:r>
              <a:r>
                <a:rPr lang="en-US" sz="2000" b="0" i="0">
                  <a:latin typeface="Cambria Math" panose="02040503050406030204" pitchFamily="18" charset="0"/>
                </a:rPr>
                <a:t>𝑁𝑃𝑉(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〖𝑀𝑊ℎ〗_𝑖∗(1−𝐷)^(𝑖−1), ∀𝑖=1..𝑇)</a:t>
              </a:r>
              <a:r>
                <a:rPr lang="en-US" sz="2000" b="0" i="0">
                  <a:latin typeface="Cambria Math" panose="02040503050406030204" pitchFamily="18" charset="0"/>
                </a:rPr>
                <a:t>|𝛿,𝑇))</a:t>
              </a:r>
              <a:r>
                <a:rPr lang="en-US" sz="2400"/>
                <a:t> </a:t>
              </a:r>
            </a:p>
          </xdr:txBody>
        </xdr:sp>
      </mc:Fallback>
    </mc:AlternateContent>
    <xdr:clientData/>
  </xdr:oneCellAnchor>
  <xdr:oneCellAnchor>
    <xdr:from>
      <xdr:col>47</xdr:col>
      <xdr:colOff>388327</xdr:colOff>
      <xdr:row>4</xdr:row>
      <xdr:rowOff>176512</xdr:rowOff>
    </xdr:from>
    <xdr:ext cx="5048250" cy="4783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CAPEX</m:t>
                      </m:r>
                    </m:e>
                    <m:sub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BE</m:t>
                      </m:r>
                    </m:sub>
                  </m:sSub>
                  <m:r>
                    <a:rPr lang="en-US" sz="2000" b="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𝐴𝑉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=0</m:t>
                          </m:r>
                        </m:sub>
                      </m:sSub>
                      <m:r>
                        <a:rPr lang="en-US" sz="20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</m:sub>
                      </m:sSub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𝐶𝑎𝑝𝑎𝑐𝑖𝑡𝑦</m:t>
                      </m:r>
                    </m:den>
                  </m:f>
                </m:oMath>
              </a14:m>
              <a:endParaRPr lang="en-US" sz="2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:r>
                <a:rPr lang="en-US" sz="2000" b="0" i="0">
                  <a:latin typeface="Cambria Math" panose="02040503050406030204" pitchFamily="18" charset="0"/>
                </a:rPr>
                <a:t>CAPEX_BE=(𝑁𝑃𝑉_(𝐴𝑉,𝐶𝐴𝑃𝐸𝑋=0)−𝑁𝑃𝑉_(𝑃𝑉,𝐶𝐴𝑃𝐸𝑋=𝑃𝑉))/𝐶𝑎𝑝𝑎𝑐𝑖𝑡𝑦</a:t>
              </a:r>
              <a:endParaRPr lang="en-US" sz="2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253755</xdr:colOff>
      <xdr:row>4</xdr:row>
      <xdr:rowOff>388188</xdr:rowOff>
    </xdr:from>
    <xdr:ext cx="7339852" cy="556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E8766BD-E9C8-AE40-902C-C47111FE8A39}"/>
                </a:ext>
              </a:extLst>
            </xdr:cNvPr>
            <xdr:cNvSpPr txBox="1"/>
          </xdr:nvSpPr>
          <xdr:spPr>
            <a:xfrm>
              <a:off x="39941255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0" i="1">
                      <a:latin typeface="Cambria Math" panose="02040503050406030204" pitchFamily="18" charset="0"/>
                    </a:rPr>
                    <m:t>𝐿𝐶𝑂𝐸</m:t>
                  </m:r>
                  <m:r>
                    <a:rPr lang="en-US" sz="20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𝐶𝐴𝑃𝐸𝑋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𝑂𝑃𝐸𝑋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𝐿𝑒𝑎𝑠𝑒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𝑇𝑟𝑎𝑛𝑠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</m:e>
                          </m:d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𝐼𝑛𝑓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=1…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|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𝛿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𝑀𝑊h</m:t>
                              </m:r>
                            </m:e>
                            <m: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</m:sub>
                          </m:sSub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1−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=1..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latin typeface="Cambria Math" panose="02040503050406030204" pitchFamily="18" charset="0"/>
                        </a:rPr>
                        <m:t>|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𝛿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en-US" sz="2400"/>
                <a:t> 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E8766BD-E9C8-AE40-902C-C47111FE8A39}"/>
                </a:ext>
              </a:extLst>
            </xdr:cNvPr>
            <xdr:cNvSpPr txBox="1"/>
          </xdr:nvSpPr>
          <xdr:spPr>
            <a:xfrm>
              <a:off x="39941255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>
                  <a:latin typeface="Cambria Math" panose="02040503050406030204" pitchFamily="18" charset="0"/>
                </a:rPr>
                <a:t>𝐿𝐶𝑂𝐸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(𝐶𝐴𝑃𝐸𝑋+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𝑁𝑃𝑉([〖𝑂𝑃𝐸𝑋〗_𝑖+〖𝐿𝑒𝑎𝑠𝑒〗_𝑖+〖𝑇𝑟𝑎𝑛𝑠〗_𝑖 ]∗(1+𝐼𝑛𝑓)^(𝑖−1), ∀𝑖=1…𝑇)|𝛿,𝑇))/(</a:t>
              </a:r>
              <a:r>
                <a:rPr lang="en-US" sz="2000" b="0" i="0">
                  <a:latin typeface="Cambria Math" panose="02040503050406030204" pitchFamily="18" charset="0"/>
                </a:rPr>
                <a:t>𝑁𝑃𝑉(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〖𝑀𝑊ℎ〗_𝑖∗(1−𝐷)^(𝑖−1), ∀𝑖=1..𝑇)</a:t>
              </a:r>
              <a:r>
                <a:rPr lang="en-US" sz="2000" b="0" i="0">
                  <a:latin typeface="Cambria Math" panose="02040503050406030204" pitchFamily="18" charset="0"/>
                </a:rPr>
                <a:t>|𝛿,𝑇))</a:t>
              </a:r>
              <a:r>
                <a:rPr lang="en-US" sz="2400"/>
                <a:t> </a:t>
              </a:r>
            </a:p>
          </xdr:txBody>
        </xdr:sp>
      </mc:Fallback>
    </mc:AlternateContent>
    <xdr:clientData/>
  </xdr:oneCellAnchor>
  <xdr:oneCellAnchor>
    <xdr:from>
      <xdr:col>47</xdr:col>
      <xdr:colOff>388327</xdr:colOff>
      <xdr:row>4</xdr:row>
      <xdr:rowOff>176512</xdr:rowOff>
    </xdr:from>
    <xdr:ext cx="5048250" cy="4783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94DF0D-6628-F147-8C23-DD1674C5807A}"/>
                </a:ext>
              </a:extLst>
            </xdr:cNvPr>
            <xdr:cNvSpPr txBox="1"/>
          </xdr:nvSpPr>
          <xdr:spPr>
            <a:xfrm>
              <a:off x="69273127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CAPEX</m:t>
                      </m:r>
                    </m:e>
                    <m:sub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BE</m:t>
                      </m:r>
                    </m:sub>
                  </m:sSub>
                  <m:r>
                    <a:rPr lang="en-US" sz="2000" b="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𝐴𝑉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=0</m:t>
                          </m:r>
                        </m:sub>
                      </m:sSub>
                      <m:r>
                        <a:rPr lang="en-US" sz="20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</m:sub>
                      </m:sSub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𝐶𝑎𝑝𝑎𝑐𝑖𝑡𝑦</m:t>
                      </m:r>
                    </m:den>
                  </m:f>
                </m:oMath>
              </a14:m>
              <a:endParaRPr lang="en-US" sz="2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94DF0D-6628-F147-8C23-DD1674C5807A}"/>
                </a:ext>
              </a:extLst>
            </xdr:cNvPr>
            <xdr:cNvSpPr txBox="1"/>
          </xdr:nvSpPr>
          <xdr:spPr>
            <a:xfrm>
              <a:off x="69273127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:r>
                <a:rPr lang="en-US" sz="2000" b="0" i="0">
                  <a:latin typeface="Cambria Math" panose="02040503050406030204" pitchFamily="18" charset="0"/>
                </a:rPr>
                <a:t>CAPEX_BE=(𝑁𝑃𝑉_(𝐴𝑉,𝐶𝐴𝑃𝐸𝑋=0)−𝑁𝑃𝑉_(𝑃𝑉,𝐶𝐴𝑃𝐸𝑋=𝑃𝑉))/𝐶𝑎𝑝𝑎𝑐𝑖𝑡𝑦</a:t>
              </a:r>
              <a:endParaRPr lang="en-US" sz="24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cCall, James" id="{0F6D042D-765D-415F-9C47-936FF712FAA7}" userId="S::jmccall@nrel.gov::fdeb6ec0-3d5c-43e1-badc-b54ad2b30d65" providerId="AD"/>
  <person displayName="Majeed, Fahd" id="{23856026-B785-4515-871B-9350410FEE56}" userId="S::fmajeed2@illinois.edu::54017d6a-4296-4a4e-80e0-98e395296de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1" dT="2023-08-23T20:26:09.22" personId="{0F6D042D-765D-415F-9C47-936FF712FAA7}" id="{6E163352-8116-40D6-B7EF-DEA54C229CEE}">
    <text>$265/acre-yr from https://www.mdpi.com/2071-1050/15/7/5895</text>
    <extLst>
      <x:ext xmlns:xltc2="http://schemas.microsoft.com/office/spreadsheetml/2020/threadedcomments2" uri="{F7C98A9C-CBB3-438F-8F68-D28B6AF4A901}">
        <xltc2:checksum>412107488</xltc2:checksum>
        <xltc2:hyperlink startIndex="18" length="40" url="https://www.mdpi.com/2071-1050/15/7/5895"/>
      </x:ext>
    </extLst>
  </threadedComment>
  <threadedComment ref="AE11" dT="2023-08-27T01:01:10.79" personId="{23856026-B785-4515-871B-9350410FEE56}" id="{4D89B197-0E02-4ABA-B452-482E29530BAE}">
    <text>Single year profit (when it doent change) is comparable to ANPV</text>
  </threadedComment>
  <threadedComment ref="AI11" dT="2023-08-27T00:58:25.50" personId="{23856026-B785-4515-871B-9350410FEE56}" id="{71006806-CC3F-4BEC-8EAC-361D50C4AB71}">
    <text>Single year profit each year is comparable to 
ANPV</text>
  </threadedComment>
  <threadedComment ref="N12" dT="2023-08-23T20:01:32.59" personId="{0F6D042D-765D-415F-9C47-936FF712FAA7}" id="{8185CA16-7011-4BD3-8B3E-8A8A2859FC87}">
    <text>Interpolated from Ramasamy and PV cost database</text>
  </threadedComment>
  <threadedComment ref="N17" dT="2023-08-23T20:01:52.62" personId="{0F6D042D-765D-415F-9C47-936FF712FAA7}" id="{0A1BE416-78B0-4F20-965F-7B8B04E2FB87}">
    <text>Added double cost for structural mount from Ramasamy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8-23T20:26:09.22" personId="{0F6D042D-765D-415F-9C47-936FF712FAA7}" id="{04F72288-0525-174B-8E11-D4CD98D5AFAA}">
    <text>$265/acre-yr from https://www.mdpi.com/2071-1050/15/7/5895</text>
    <extLst>
      <x:ext xmlns:xltc2="http://schemas.microsoft.com/office/spreadsheetml/2020/threadedcomments2" uri="{F7C98A9C-CBB3-438F-8F68-D28B6AF4A901}">
        <xltc2:checksum>412107488</xltc2:checksum>
        <xltc2:hyperlink startIndex="18" length="40" url="https://www.mdpi.com/2071-1050/15/7/5895"/>
      </x:ext>
    </extLst>
  </threadedComment>
  <threadedComment ref="AE11" dT="2023-08-27T01:01:10.79" personId="{23856026-B785-4515-871B-9350410FEE56}" id="{78744CE1-DE1C-E447-871D-3B956A73963C}">
    <text>Single year profit (when it doent change) is comparable to ANPV</text>
  </threadedComment>
  <threadedComment ref="AI11" dT="2023-08-27T00:58:25.50" personId="{23856026-B785-4515-871B-9350410FEE56}" id="{711F114F-11E4-1442-9C19-00A2AFC7F4E6}">
    <text>Single year profit each year is comparable to 
ANPV</text>
  </threadedComment>
  <threadedComment ref="N12" dT="2023-08-23T20:01:32.59" personId="{0F6D042D-765D-415F-9C47-936FF712FAA7}" id="{0EE2197E-3BF0-0F4D-9D2F-4ED7E4CC71A3}">
    <text>Interpolated from Ramasamy and PV cost database</text>
  </threadedComment>
  <threadedComment ref="N17" dT="2023-08-23T20:01:52.62" personId="{0F6D042D-765D-415F-9C47-936FF712FAA7}" id="{FA6B02AD-73C2-5349-9222-D0D8F7509B4A}">
    <text>Added double cost for structural mount from Ramasamy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npower.maxeon.com/int/sites/default/files/2020-08/sunpower_p5_upp_bifacial_ds_en_warranty_v3.pdf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unpower.maxeon.com/int/sites/default/files/2020-08/sunpower_p5_upp_bifacial_ds_en_warranty_v3.pdf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27"/>
  <sheetViews>
    <sheetView tabSelected="1" topLeftCell="B9" zoomScale="117" zoomScaleNormal="85" workbookViewId="0">
      <selection activeCell="AQ15" sqref="AQ15"/>
    </sheetView>
  </sheetViews>
  <sheetFormatPr defaultColWidth="8.85546875" defaultRowHeight="15" x14ac:dyDescent="0.25"/>
  <cols>
    <col min="1" max="1" width="26.140625" bestFit="1" customWidth="1"/>
    <col min="2" max="2" width="109" bestFit="1" customWidth="1"/>
    <col min="3" max="3" width="14.42578125" bestFit="1" customWidth="1"/>
    <col min="4" max="4" width="16.7109375" bestFit="1" customWidth="1"/>
    <col min="5" max="5" width="12.140625" bestFit="1" customWidth="1"/>
    <col min="6" max="6" width="13.140625" bestFit="1" customWidth="1"/>
    <col min="7" max="7" width="12.42578125" bestFit="1" customWidth="1"/>
    <col min="8" max="8" width="46.42578125" bestFit="1" customWidth="1"/>
    <col min="9" max="9" width="15.42578125" bestFit="1" customWidth="1"/>
    <col min="10" max="10" width="9.28515625" bestFit="1" customWidth="1"/>
    <col min="11" max="11" width="7.7109375" bestFit="1" customWidth="1"/>
    <col min="12" max="12" width="23" bestFit="1" customWidth="1"/>
    <col min="13" max="13" width="13.140625" bestFit="1" customWidth="1"/>
    <col min="14" max="14" width="12.42578125" bestFit="1" customWidth="1"/>
    <col min="15" max="15" width="15.140625" bestFit="1" customWidth="1"/>
    <col min="16" max="16" width="11.28515625" bestFit="1" customWidth="1"/>
    <col min="17" max="17" width="14.140625" bestFit="1" customWidth="1"/>
    <col min="18" max="18" width="32.28515625" bestFit="1" customWidth="1"/>
    <col min="19" max="19" width="11.85546875" bestFit="1" customWidth="1"/>
    <col min="20" max="20" width="52.42578125" bestFit="1" customWidth="1"/>
    <col min="21" max="21" width="25.85546875" bestFit="1" customWidth="1"/>
    <col min="22" max="22" width="9.42578125" bestFit="1" customWidth="1"/>
    <col min="23" max="23" width="16.28515625" bestFit="1" customWidth="1"/>
    <col min="24" max="24" width="19.85546875" bestFit="1" customWidth="1"/>
    <col min="25" max="25" width="19.140625" bestFit="1" customWidth="1"/>
    <col min="29" max="29" width="16" bestFit="1" customWidth="1"/>
    <col min="30" max="30" width="9.7109375" bestFit="1" customWidth="1"/>
    <col min="31" max="31" width="16.7109375" bestFit="1" customWidth="1"/>
    <col min="32" max="32" width="29.42578125" bestFit="1" customWidth="1"/>
    <col min="33" max="33" width="23.7109375" bestFit="1" customWidth="1"/>
    <col min="34" max="34" width="44" bestFit="1" customWidth="1"/>
    <col min="35" max="36" width="16" bestFit="1" customWidth="1"/>
    <col min="38" max="40" width="16" bestFit="1" customWidth="1"/>
    <col min="42" max="42" width="7.42578125" bestFit="1" customWidth="1"/>
    <col min="43" max="43" width="16" bestFit="1" customWidth="1"/>
    <col min="44" max="44" width="9" bestFit="1" customWidth="1"/>
    <col min="45" max="47" width="16" bestFit="1" customWidth="1"/>
    <col min="48" max="48" width="16.7109375" bestFit="1" customWidth="1"/>
    <col min="49" max="49" width="11" bestFit="1" customWidth="1"/>
    <col min="50" max="50" width="9.42578125" bestFit="1" customWidth="1"/>
    <col min="51" max="51" width="19.7109375" bestFit="1" customWidth="1"/>
  </cols>
  <sheetData>
    <row r="1" spans="1:51" x14ac:dyDescent="0.25">
      <c r="B1" s="1" t="s">
        <v>0</v>
      </c>
      <c r="H1" s="3" t="s">
        <v>10</v>
      </c>
      <c r="AH1" s="12"/>
    </row>
    <row r="2" spans="1:51" x14ac:dyDescent="0.25">
      <c r="B2" t="s">
        <v>1</v>
      </c>
      <c r="H2" t="s">
        <v>21</v>
      </c>
      <c r="I2">
        <v>7.75</v>
      </c>
      <c r="J2" t="s">
        <v>14</v>
      </c>
      <c r="L2" t="s">
        <v>25</v>
      </c>
      <c r="N2">
        <v>396</v>
      </c>
      <c r="O2" t="s">
        <v>14</v>
      </c>
      <c r="R2" t="s">
        <v>91</v>
      </c>
      <c r="S2">
        <v>1.1499999999999999</v>
      </c>
      <c r="T2" t="s">
        <v>65</v>
      </c>
      <c r="AD2" t="s">
        <v>66</v>
      </c>
      <c r="AG2" t="s">
        <v>117</v>
      </c>
      <c r="AH2" s="12" t="s">
        <v>118</v>
      </c>
      <c r="AI2">
        <f>(1-(1+AI5/100)^(-AI3))/AI5*100</f>
        <v>12.197876725056499</v>
      </c>
      <c r="AJ2">
        <f>(1-(1+AI5/100)^(-AI3))/AI5*100</f>
        <v>12.197876725056499</v>
      </c>
    </row>
    <row r="3" spans="1:51" x14ac:dyDescent="0.25">
      <c r="B3" t="s">
        <v>2</v>
      </c>
      <c r="H3" t="s">
        <v>11</v>
      </c>
      <c r="I3">
        <v>3.5</v>
      </c>
      <c r="J3" t="s">
        <v>14</v>
      </c>
      <c r="L3" t="s">
        <v>26</v>
      </c>
      <c r="N3">
        <v>10</v>
      </c>
      <c r="O3" t="s">
        <v>14</v>
      </c>
      <c r="R3" t="s">
        <v>99</v>
      </c>
      <c r="S3">
        <v>2.66</v>
      </c>
      <c r="T3" t="s">
        <v>65</v>
      </c>
      <c r="U3" s="13" t="s">
        <v>67</v>
      </c>
      <c r="V3" s="13"/>
      <c r="W3">
        <v>58.240644930193369</v>
      </c>
      <c r="X3">
        <f>W3*80</f>
        <v>4659.2515944154693</v>
      </c>
      <c r="AG3" t="s">
        <v>68</v>
      </c>
      <c r="AH3" t="s">
        <v>69</v>
      </c>
      <c r="AI3">
        <v>25</v>
      </c>
    </row>
    <row r="4" spans="1:51" x14ac:dyDescent="0.25">
      <c r="B4" t="s">
        <v>3</v>
      </c>
      <c r="H4" t="s">
        <v>12</v>
      </c>
      <c r="I4">
        <v>545</v>
      </c>
      <c r="J4" t="s">
        <v>13</v>
      </c>
      <c r="L4" t="s">
        <v>27</v>
      </c>
      <c r="N4">
        <v>80</v>
      </c>
      <c r="O4" t="s">
        <v>28</v>
      </c>
      <c r="R4" t="s">
        <v>100</v>
      </c>
      <c r="S4">
        <v>3.06</v>
      </c>
      <c r="T4" t="s">
        <v>98</v>
      </c>
      <c r="U4" s="13" t="s">
        <v>71</v>
      </c>
      <c r="V4" s="13"/>
      <c r="W4">
        <v>9.69</v>
      </c>
      <c r="AG4" t="s">
        <v>72</v>
      </c>
      <c r="AH4" s="14" t="s">
        <v>73</v>
      </c>
      <c r="AI4">
        <v>0</v>
      </c>
    </row>
    <row r="5" spans="1:51" ht="33.6" customHeight="1" x14ac:dyDescent="0.25">
      <c r="B5" t="s">
        <v>60</v>
      </c>
      <c r="H5" t="s">
        <v>24</v>
      </c>
      <c r="I5">
        <v>30</v>
      </c>
      <c r="J5" t="s">
        <v>14</v>
      </c>
      <c r="L5" s="2" t="s">
        <v>29</v>
      </c>
      <c r="M5" s="2"/>
      <c r="N5" s="4">
        <f>(N2/I3)*(I4/1000)</f>
        <v>61.662857142857142</v>
      </c>
      <c r="O5" t="s">
        <v>30</v>
      </c>
      <c r="R5" t="s">
        <v>92</v>
      </c>
      <c r="S5">
        <v>15</v>
      </c>
      <c r="T5" t="s">
        <v>70</v>
      </c>
      <c r="U5" s="15" t="s">
        <v>74</v>
      </c>
      <c r="V5" s="15"/>
      <c r="W5">
        <v>2.5</v>
      </c>
      <c r="X5" t="s">
        <v>70</v>
      </c>
      <c r="AG5" t="s">
        <v>75</v>
      </c>
      <c r="AH5" s="14" t="s">
        <v>76</v>
      </c>
      <c r="AI5">
        <v>6.5</v>
      </c>
    </row>
    <row r="6" spans="1:51" ht="15.75" x14ac:dyDescent="0.25">
      <c r="B6" t="s">
        <v>4</v>
      </c>
      <c r="H6" s="1" t="s">
        <v>22</v>
      </c>
      <c r="S6">
        <v>1000</v>
      </c>
      <c r="T6" t="s">
        <v>70</v>
      </c>
      <c r="U6" s="15" t="s">
        <v>78</v>
      </c>
      <c r="V6" s="15"/>
      <c r="W6">
        <v>136</v>
      </c>
      <c r="X6" t="s">
        <v>77</v>
      </c>
      <c r="AB6" s="16"/>
      <c r="AG6" t="s">
        <v>79</v>
      </c>
      <c r="AH6" t="s">
        <v>80</v>
      </c>
      <c r="AI6">
        <v>0.5</v>
      </c>
    </row>
    <row r="7" spans="1:51" ht="15.75" x14ac:dyDescent="0.25">
      <c r="B7" t="s">
        <v>5</v>
      </c>
      <c r="H7" t="s">
        <v>21</v>
      </c>
      <c r="I7">
        <f>2640-I5*2</f>
        <v>2580</v>
      </c>
      <c r="J7" t="s">
        <v>23</v>
      </c>
      <c r="L7" t="s">
        <v>51</v>
      </c>
      <c r="N7">
        <v>1650</v>
      </c>
      <c r="O7" t="s">
        <v>52</v>
      </c>
      <c r="R7" s="13" t="s">
        <v>93</v>
      </c>
      <c r="S7">
        <v>3.6669999999999998</v>
      </c>
      <c r="T7" t="s">
        <v>77</v>
      </c>
      <c r="X7" t="s">
        <v>81</v>
      </c>
      <c r="AB7" s="16"/>
    </row>
    <row r="8" spans="1:51" x14ac:dyDescent="0.25">
      <c r="B8" t="s">
        <v>15</v>
      </c>
      <c r="H8" t="s">
        <v>11</v>
      </c>
      <c r="I8">
        <f>1320-I5*2</f>
        <v>1260</v>
      </c>
      <c r="J8" t="s">
        <v>23</v>
      </c>
      <c r="R8" s="13" t="s">
        <v>94</v>
      </c>
      <c r="S8">
        <f>S10*10</f>
        <v>75.7</v>
      </c>
      <c r="T8" t="s">
        <v>81</v>
      </c>
      <c r="X8" t="s">
        <v>82</v>
      </c>
    </row>
    <row r="9" spans="1:51" x14ac:dyDescent="0.25">
      <c r="H9" s="8" t="s">
        <v>58</v>
      </c>
      <c r="I9" s="8">
        <f>60*(2640+1260)*0.0000229568</f>
        <v>5.3718912000000003</v>
      </c>
      <c r="J9" s="8" t="s">
        <v>28</v>
      </c>
      <c r="R9" s="13" t="s">
        <v>95</v>
      </c>
      <c r="S9">
        <v>6.6</v>
      </c>
      <c r="T9" t="s">
        <v>82</v>
      </c>
    </row>
    <row r="10" spans="1:51" x14ac:dyDescent="0.25">
      <c r="R10" t="s">
        <v>96</v>
      </c>
      <c r="S10">
        <v>7.57</v>
      </c>
      <c r="T10" t="s">
        <v>97</v>
      </c>
      <c r="AL10" s="34" t="s">
        <v>108</v>
      </c>
      <c r="AM10" s="34"/>
      <c r="AN10" s="34"/>
      <c r="AP10" s="34" t="s">
        <v>109</v>
      </c>
      <c r="AQ10" s="34"/>
      <c r="AR10" s="34"/>
    </row>
    <row r="11" spans="1:51" s="2" customFormat="1" ht="105" x14ac:dyDescent="0.25">
      <c r="A11" s="5" t="s">
        <v>49</v>
      </c>
      <c r="B11" s="5" t="s">
        <v>48</v>
      </c>
      <c r="C11" s="5" t="s">
        <v>18</v>
      </c>
      <c r="D11" s="5" t="s">
        <v>19</v>
      </c>
      <c r="E11" s="5" t="s">
        <v>31</v>
      </c>
      <c r="F11" s="5" t="s">
        <v>44</v>
      </c>
      <c r="G11" s="5" t="s">
        <v>45</v>
      </c>
      <c r="H11" s="5" t="s">
        <v>46</v>
      </c>
      <c r="I11" s="5" t="s">
        <v>43</v>
      </c>
      <c r="J11" s="5" t="s">
        <v>42</v>
      </c>
      <c r="K11" s="9" t="s">
        <v>50</v>
      </c>
      <c r="L11" s="5" t="s">
        <v>54</v>
      </c>
      <c r="M11" s="17" t="s">
        <v>89</v>
      </c>
      <c r="N11" s="5" t="s">
        <v>16</v>
      </c>
      <c r="O11" s="5" t="s">
        <v>17</v>
      </c>
      <c r="P11" s="5" t="s">
        <v>90</v>
      </c>
      <c r="Q11" s="5" t="s">
        <v>110</v>
      </c>
      <c r="R11" s="5" t="s">
        <v>55</v>
      </c>
      <c r="S11" s="5" t="s">
        <v>53</v>
      </c>
      <c r="T11" s="5" t="s">
        <v>64</v>
      </c>
      <c r="U11" s="30" t="s">
        <v>83</v>
      </c>
      <c r="V11" s="30" t="s">
        <v>84</v>
      </c>
      <c r="W11" s="30" t="str">
        <f>_xlfn.CONCAT("ANPV for entire project at payment of $ ", S8 + S9," / MWh")</f>
        <v>ANPV for entire project at payment of $ 82.3 / MWh</v>
      </c>
      <c r="X11" s="30" t="str">
        <f>_xlfn.CONCAT("ANPV per acre at payment of $ ", S8 + S9," / MWh")</f>
        <v>ANPV per acre at payment of $ 82.3 / MWh</v>
      </c>
      <c r="Y11" s="23" t="s">
        <v>102</v>
      </c>
      <c r="Z11" s="17"/>
      <c r="AA11" s="17"/>
      <c r="AB11" s="17"/>
      <c r="AC11" s="17" t="s">
        <v>85</v>
      </c>
      <c r="AD11" s="17" t="s">
        <v>86</v>
      </c>
      <c r="AE11" s="17" t="s">
        <v>87</v>
      </c>
      <c r="AF11" s="17" t="s">
        <v>101</v>
      </c>
      <c r="AG11" s="23" t="s">
        <v>103</v>
      </c>
      <c r="AH11" s="17"/>
      <c r="AI11" s="17" t="s">
        <v>88</v>
      </c>
      <c r="AJ11" s="23" t="s">
        <v>104</v>
      </c>
      <c r="AL11" s="24" t="s">
        <v>105</v>
      </c>
      <c r="AM11" s="24" t="s">
        <v>106</v>
      </c>
      <c r="AN11" s="24" t="s">
        <v>107</v>
      </c>
      <c r="AP11" s="24" t="s">
        <v>105</v>
      </c>
      <c r="AQ11" s="24" t="s">
        <v>106</v>
      </c>
      <c r="AR11" s="24" t="s">
        <v>107</v>
      </c>
      <c r="AS11" s="24" t="s">
        <v>113</v>
      </c>
      <c r="AT11" s="24" t="s">
        <v>114</v>
      </c>
      <c r="AU11" s="24" t="s">
        <v>115</v>
      </c>
      <c r="AV11" s="27" t="s">
        <v>116</v>
      </c>
      <c r="AW11" s="26" t="s">
        <v>120</v>
      </c>
      <c r="AX11" s="2" t="s">
        <v>119</v>
      </c>
      <c r="AY11" s="2" t="s">
        <v>121</v>
      </c>
    </row>
    <row r="12" spans="1:51" x14ac:dyDescent="0.25">
      <c r="A12" s="6" t="s">
        <v>32</v>
      </c>
      <c r="B12" t="s">
        <v>6</v>
      </c>
      <c r="C12">
        <v>43.5</v>
      </c>
      <c r="D12">
        <v>8</v>
      </c>
      <c r="E12">
        <v>30</v>
      </c>
      <c r="F12">
        <v>3</v>
      </c>
      <c r="G12">
        <f>ROUNDDOWN($I$8/C12,0)</f>
        <v>28</v>
      </c>
      <c r="H12">
        <f>ROUNDDOWN(I7/N2,0)</f>
        <v>6</v>
      </c>
      <c r="I12" s="4">
        <f>H12*G12*E12*$N$2*0.0000229568</f>
        <v>45.818099711999999</v>
      </c>
      <c r="J12" s="4">
        <f>$N$4-I12</f>
        <v>34.181900288000001</v>
      </c>
      <c r="K12" s="10">
        <f t="shared" ref="K12:K21" si="0">$I$2/C12</f>
        <v>0.17816091954022989</v>
      </c>
      <c r="L12" s="4">
        <f t="shared" ref="L12:L15" si="1">G12*H12*$N$5/1000</f>
        <v>10.359360000000001</v>
      </c>
      <c r="M12" s="4">
        <f>L12*$N$7</f>
        <v>17092.944</v>
      </c>
      <c r="N12">
        <f>S3</f>
        <v>2.66</v>
      </c>
      <c r="O12" s="7">
        <f t="shared" ref="O12:O21" si="2">L12*N12*1000000</f>
        <v>27555897.600000001</v>
      </c>
      <c r="P12" s="20">
        <f t="shared" ref="P12:P22" si="3">$S$5*L12*1000</f>
        <v>155390.39999999999</v>
      </c>
      <c r="Q12" s="20" t="s">
        <v>111</v>
      </c>
      <c r="R12" s="7">
        <f>IF(Q12="yes",J12*365,0)</f>
        <v>0</v>
      </c>
      <c r="S12" s="7">
        <f t="shared" ref="S12:S22" si="4">L12*$N$7*3.66</f>
        <v>62560.175040000002</v>
      </c>
      <c r="T12" s="7">
        <f t="shared" ref="T12:T22" si="5">1000*J12</f>
        <v>34181.900288000004</v>
      </c>
      <c r="U12" s="28">
        <f t="shared" ref="U12:U21" si="6">lcoe($AI$3,$M12,$T12,$L12,$AI$5,$AI$4,$P12+R12,$O12,0,$AI$6)</f>
        <v>149.66898580500595</v>
      </c>
      <c r="V12" s="28">
        <f t="shared" ref="V12:V21" si="7">lcoe($AI$3,$M12,$T12,$L12,$AI$5,$AI$4,$P12+R12,$O12,$S12,$AI$6)</f>
        <v>153.49286213530084</v>
      </c>
      <c r="W12" s="28">
        <f>AV12/$AI$2</f>
        <v>-1164744.235750901</v>
      </c>
      <c r="X12" s="29">
        <f t="shared" ref="X12:X22" si="8">AV12/$AI$2/$N$4</f>
        <v>-14559.302946886262</v>
      </c>
      <c r="Y12" s="21">
        <f>X12-$X$21</f>
        <v>-17939.425918486482</v>
      </c>
      <c r="Z12" s="18"/>
      <c r="AA12" s="18"/>
      <c r="AB12" s="18"/>
      <c r="AC12">
        <f t="shared" ref="AC12:AC22" si="9">$W$3*I12</f>
        <v>2668.475676702787</v>
      </c>
      <c r="AD12" s="19">
        <f t="shared" ref="AD12:AD22" si="10">$W$3*($W$4-$W$5)-$W$6</f>
        <v>282.7502370480903</v>
      </c>
      <c r="AE12" s="18">
        <f t="shared" ref="AE12:AE22" si="11">AD12*I12</f>
        <v>12955.078554661037</v>
      </c>
      <c r="AF12" s="18">
        <f t="shared" ref="AF12:AF22" si="12">AE12+T12</f>
        <v>47136.978842661039</v>
      </c>
      <c r="AG12" s="21">
        <f t="shared" ref="AG12:AG22" si="13">(AF12-$AF$22)/$N$4</f>
        <v>306.46199848517273</v>
      </c>
      <c r="AH12" s="18"/>
      <c r="AI12" s="18">
        <f t="shared" ref="AI12:AI22" si="14">(W12+AE12)/$N$4</f>
        <v>-14397.364464953</v>
      </c>
      <c r="AJ12" s="21">
        <f t="shared" ref="AJ12:AJ22" si="15">Y12+AG12</f>
        <v>-17632.963920001308</v>
      </c>
      <c r="AL12" s="22">
        <f t="shared" ref="AL12:AL22" si="16">M12/$M$21</f>
        <v>0.39999999999999997</v>
      </c>
      <c r="AM12" s="22">
        <f t="shared" ref="AM12:AM22" si="17">AC12/$AC$22</f>
        <v>0.57272624640000003</v>
      </c>
      <c r="AN12" s="22">
        <f>AL12+AM12</f>
        <v>0.97272624639999994</v>
      </c>
      <c r="AP12" s="22" t="e">
        <f>#REF!/#REF!</f>
        <v>#REF!</v>
      </c>
      <c r="AQ12" s="22">
        <f t="shared" ref="AQ12:AQ22" si="18">AF12/$AF$22</f>
        <v>2.083861154935299</v>
      </c>
      <c r="AR12" s="22" t="e">
        <f>AP12+AQ12</f>
        <v>#REF!</v>
      </c>
      <c r="AS12">
        <f t="shared" ref="AS12:AS22" si="19">lcoe_cost($AI$3,$M12,$T12,$L12,$AI$5,$AI$4,$P12+R12,$O12,$S12,$AI$6)</f>
        <v>30631378.452092756</v>
      </c>
      <c r="AT12">
        <f t="shared" ref="AT12:AT22" si="20">lcoe_gen($AI$3,$M12,$T12,$L12,$AI$5,$AI$4,$P12+R12,$O12,$S12,$AI$6)</f>
        <v>199562.23387828821</v>
      </c>
      <c r="AU12">
        <f>AT12*($S$9+$S$8)</f>
        <v>16423971.84818312</v>
      </c>
      <c r="AV12" s="29">
        <f>AU12-AS12</f>
        <v>-14207406.603909636</v>
      </c>
      <c r="AW12" s="25">
        <f t="shared" ref="AW12:AW22" si="21">-($AV$21-AV12-O12)/1000000/L12</f>
        <v>0.97014343842104878</v>
      </c>
      <c r="AX12" s="31">
        <f t="shared" ref="AX12:AX21" si="22">AW12/$AW$21</f>
        <v>0.84360298993134686</v>
      </c>
      <c r="AY12" s="31">
        <f t="shared" ref="AY12:AY21" si="23">(N12-AW12)/N12</f>
        <v>0.63528442164622223</v>
      </c>
    </row>
    <row r="13" spans="1:51" x14ac:dyDescent="0.25">
      <c r="A13" s="11" t="s">
        <v>57</v>
      </c>
      <c r="B13" t="s">
        <v>8</v>
      </c>
      <c r="C13">
        <v>33.5</v>
      </c>
      <c r="D13">
        <v>8</v>
      </c>
      <c r="E13">
        <v>20</v>
      </c>
      <c r="F13">
        <v>3</v>
      </c>
      <c r="G13">
        <f t="shared" ref="G13:G18" si="24">ROUNDDOWN($I$8/C13,0)</f>
        <v>37</v>
      </c>
      <c r="H13">
        <v>6</v>
      </c>
      <c r="I13" s="4">
        <f>H13*G13*E13*$N$2*0.0000229568</f>
        <v>40.363564031999999</v>
      </c>
      <c r="J13" s="4">
        <f t="shared" ref="J13:J15" si="25">$N$4-I13</f>
        <v>39.636435968000001</v>
      </c>
      <c r="K13" s="10">
        <f t="shared" si="0"/>
        <v>0.23134328358208955</v>
      </c>
      <c r="L13" s="4">
        <f t="shared" si="1"/>
        <v>13.689154285714284</v>
      </c>
      <c r="M13" s="4">
        <f t="shared" ref="M13:M20" si="26">L13*$N$7</f>
        <v>22587.104571428568</v>
      </c>
      <c r="N13">
        <f>S3</f>
        <v>2.66</v>
      </c>
      <c r="O13" s="7">
        <f t="shared" si="2"/>
        <v>36413150.399999999</v>
      </c>
      <c r="P13" s="20">
        <f t="shared" si="3"/>
        <v>205337.31428571427</v>
      </c>
      <c r="Q13" s="20" t="s">
        <v>111</v>
      </c>
      <c r="R13" s="7">
        <f t="shared" ref="R13:R21" si="27">IF(Q13="yes",J13*365,0)</f>
        <v>0</v>
      </c>
      <c r="S13" s="7">
        <f t="shared" si="4"/>
        <v>82668.802731428557</v>
      </c>
      <c r="T13" s="7">
        <f t="shared" si="5"/>
        <v>39636.435967999998</v>
      </c>
      <c r="U13" s="28">
        <f t="shared" si="6"/>
        <v>149.41307778176198</v>
      </c>
      <c r="V13" s="28">
        <f t="shared" si="7"/>
        <v>153.23695411304809</v>
      </c>
      <c r="W13" s="28">
        <f t="shared" ref="W13:W22" si="28">AV13/$AI$2</f>
        <v>-1533593.8078672618</v>
      </c>
      <c r="X13" s="29">
        <f t="shared" si="8"/>
        <v>-19169.922598340774</v>
      </c>
      <c r="Y13" s="21">
        <f>X13-$X$21</f>
        <v>-22550.045569940994</v>
      </c>
      <c r="Z13" s="18"/>
      <c r="AA13" s="18"/>
      <c r="AB13" s="18"/>
      <c r="AC13">
        <f t="shared" si="9"/>
        <v>2350.800000904836</v>
      </c>
      <c r="AD13" s="19">
        <f t="shared" si="10"/>
        <v>282.7502370480903</v>
      </c>
      <c r="AE13" s="18">
        <f t="shared" si="11"/>
        <v>11412.807298153772</v>
      </c>
      <c r="AF13" s="18">
        <f t="shared" si="12"/>
        <v>51049.243266153768</v>
      </c>
      <c r="AG13" s="21">
        <f t="shared" si="13"/>
        <v>355.36530377883184</v>
      </c>
      <c r="AH13" s="18"/>
      <c r="AI13" s="18">
        <f t="shared" si="14"/>
        <v>-19027.26250711385</v>
      </c>
      <c r="AJ13" s="21">
        <f t="shared" si="15"/>
        <v>-22194.680266162162</v>
      </c>
      <c r="AL13" s="22">
        <f t="shared" si="16"/>
        <v>0.52857142857142847</v>
      </c>
      <c r="AM13" s="22">
        <f t="shared" si="17"/>
        <v>0.50454455040000001</v>
      </c>
      <c r="AN13" s="22">
        <f t="shared" ref="AN13:AN22" si="29">AL13+AM13</f>
        <v>1.0331159789714284</v>
      </c>
      <c r="AP13" s="22" t="e">
        <f>#REF!/#REF!</f>
        <v>#REF!</v>
      </c>
      <c r="AQ13" s="22">
        <f t="shared" si="18"/>
        <v>2.2568169968267475</v>
      </c>
      <c r="AR13" s="22" t="e">
        <f t="shared" ref="AR13:AR22" si="30">AP13+AQ13</f>
        <v>#REF!</v>
      </c>
      <c r="AS13">
        <f t="shared" si="19"/>
        <v>40409693.871202536</v>
      </c>
      <c r="AT13">
        <f t="shared" si="20"/>
        <v>263707.23762488086</v>
      </c>
      <c r="AU13">
        <f t="shared" ref="AU13:AU22" si="31">AT13*($S$9+$S$8)</f>
        <v>21703105.656527694</v>
      </c>
      <c r="AV13" s="29">
        <f t="shared" ref="AV13:AV22" si="32">AU13-AS13</f>
        <v>-18706588.214674842</v>
      </c>
      <c r="AW13" s="25">
        <f t="shared" si="21"/>
        <v>1.052522019896605</v>
      </c>
      <c r="AX13" s="31">
        <f t="shared" si="22"/>
        <v>0.91523653904052615</v>
      </c>
      <c r="AY13" s="31">
        <f t="shared" si="23"/>
        <v>0.60431503011405829</v>
      </c>
    </row>
    <row r="14" spans="1:51" x14ac:dyDescent="0.25">
      <c r="A14" s="6" t="s">
        <v>56</v>
      </c>
      <c r="B14" t="s">
        <v>9</v>
      </c>
      <c r="C14">
        <v>23.5</v>
      </c>
      <c r="D14">
        <v>8</v>
      </c>
      <c r="E14">
        <v>10</v>
      </c>
      <c r="F14">
        <v>3</v>
      </c>
      <c r="G14">
        <f>ROUNDDOWN($I$8/C14,0)</f>
        <v>53</v>
      </c>
      <c r="H14">
        <v>6</v>
      </c>
      <c r="I14" s="4">
        <f>H14*G14*E14*$N$2*0.0000229568</f>
        <v>28.909039104000001</v>
      </c>
      <c r="J14" s="4">
        <f t="shared" si="25"/>
        <v>51.090960895999999</v>
      </c>
      <c r="K14" s="10">
        <f t="shared" si="0"/>
        <v>0.32978723404255317</v>
      </c>
      <c r="L14" s="4">
        <f t="shared" si="1"/>
        <v>19.608788571428569</v>
      </c>
      <c r="M14" s="4">
        <f t="shared" si="26"/>
        <v>32354.501142857138</v>
      </c>
      <c r="N14">
        <f>S3</f>
        <v>2.66</v>
      </c>
      <c r="O14" s="7">
        <f t="shared" si="2"/>
        <v>52159377.600000001</v>
      </c>
      <c r="P14" s="20">
        <f t="shared" si="3"/>
        <v>294131.82857142849</v>
      </c>
      <c r="Q14" s="20" t="s">
        <v>111</v>
      </c>
      <c r="R14" s="7">
        <f t="shared" si="27"/>
        <v>0</v>
      </c>
      <c r="S14" s="7">
        <f t="shared" si="4"/>
        <v>118417.47418285713</v>
      </c>
      <c r="T14" s="7">
        <f t="shared" si="5"/>
        <v>51090.960895999997</v>
      </c>
      <c r="U14" s="28">
        <f t="shared" si="6"/>
        <v>149.22948273897825</v>
      </c>
      <c r="V14" s="28">
        <f t="shared" si="7"/>
        <v>153.05335907227166</v>
      </c>
      <c r="W14" s="28">
        <f t="shared" si="28"/>
        <v>-2191083.9530963483</v>
      </c>
      <c r="X14" s="29">
        <f t="shared" si="8"/>
        <v>-27388.549413704353</v>
      </c>
      <c r="Y14" s="21">
        <f t="shared" ref="Y14:Y22" si="33">X14-$X$21</f>
        <v>-30768.672385304573</v>
      </c>
      <c r="Z14" s="18"/>
      <c r="AA14" s="18"/>
      <c r="AB14" s="18"/>
      <c r="AC14">
        <f t="shared" si="9"/>
        <v>1683.6810817291396</v>
      </c>
      <c r="AD14" s="19">
        <f t="shared" si="10"/>
        <v>282.7502370480903</v>
      </c>
      <c r="AE14" s="18">
        <f t="shared" si="11"/>
        <v>8174.037659488512</v>
      </c>
      <c r="AF14" s="18">
        <f t="shared" si="12"/>
        <v>59264.998555488506</v>
      </c>
      <c r="AG14" s="21">
        <f t="shared" si="13"/>
        <v>458.06224489551607</v>
      </c>
      <c r="AH14" s="18"/>
      <c r="AI14" s="18">
        <f t="shared" si="14"/>
        <v>-27286.373942960745</v>
      </c>
      <c r="AJ14" s="21">
        <f t="shared" si="15"/>
        <v>-30310.610140409059</v>
      </c>
      <c r="AL14" s="22">
        <f t="shared" si="16"/>
        <v>0.75714285714285701</v>
      </c>
      <c r="AM14" s="22">
        <f t="shared" si="17"/>
        <v>0.36136298880000006</v>
      </c>
      <c r="AN14" s="22">
        <f t="shared" si="29"/>
        <v>1.118505845942857</v>
      </c>
      <c r="AP14" s="22" t="e">
        <f>#REF!/#REF!</f>
        <v>#REF!</v>
      </c>
      <c r="AQ14" s="22">
        <f t="shared" si="18"/>
        <v>2.6200242647987899</v>
      </c>
      <c r="AR14" s="22" t="e">
        <f t="shared" si="30"/>
        <v>#REF!</v>
      </c>
      <c r="AS14">
        <f t="shared" si="19"/>
        <v>57814804.381036781</v>
      </c>
      <c r="AT14">
        <f t="shared" si="20"/>
        <v>377742.79984104552</v>
      </c>
      <c r="AU14">
        <f t="shared" si="31"/>
        <v>31088232.426918045</v>
      </c>
      <c r="AV14" s="29">
        <f t="shared" si="32"/>
        <v>-26726571.954118736</v>
      </c>
      <c r="AW14" s="25">
        <f t="shared" si="21"/>
        <v>1.1287989413218407</v>
      </c>
      <c r="AX14" s="31">
        <f t="shared" si="22"/>
        <v>0.98156429680160062</v>
      </c>
      <c r="AY14" s="31">
        <f t="shared" si="23"/>
        <v>0.57563949574366891</v>
      </c>
    </row>
    <row r="15" spans="1:51" ht="15.75" x14ac:dyDescent="0.25">
      <c r="A15" s="11" t="s">
        <v>41</v>
      </c>
      <c r="B15" t="s">
        <v>7</v>
      </c>
      <c r="C15">
        <v>43.5</v>
      </c>
      <c r="D15">
        <v>8</v>
      </c>
      <c r="E15">
        <v>40</v>
      </c>
      <c r="F15">
        <v>-2</v>
      </c>
      <c r="G15">
        <f t="shared" si="24"/>
        <v>28</v>
      </c>
      <c r="H15">
        <v>6</v>
      </c>
      <c r="I15" s="4">
        <f>H15*G15*E15*$N$2*0.0000229568</f>
        <v>61.090799615999998</v>
      </c>
      <c r="J15" s="4">
        <f t="shared" si="25"/>
        <v>18.909200384000002</v>
      </c>
      <c r="K15" s="10">
        <f t="shared" si="0"/>
        <v>0.17816091954022989</v>
      </c>
      <c r="L15" s="4">
        <f t="shared" si="1"/>
        <v>10.359360000000001</v>
      </c>
      <c r="M15" s="4">
        <f t="shared" si="26"/>
        <v>17092.944</v>
      </c>
      <c r="N15">
        <f>S3</f>
        <v>2.66</v>
      </c>
      <c r="O15" s="7">
        <f t="shared" si="2"/>
        <v>27555897.600000001</v>
      </c>
      <c r="P15" s="20">
        <f t="shared" si="3"/>
        <v>155390.39999999999</v>
      </c>
      <c r="Q15" s="20" t="s">
        <v>111</v>
      </c>
      <c r="R15" s="7">
        <f t="shared" si="27"/>
        <v>0</v>
      </c>
      <c r="S15" s="7">
        <f t="shared" si="4"/>
        <v>62560.175040000002</v>
      </c>
      <c r="T15" s="7">
        <f t="shared" si="5"/>
        <v>18909.200384000003</v>
      </c>
      <c r="U15" s="28">
        <f t="shared" si="6"/>
        <v>148.73546994372026</v>
      </c>
      <c r="V15" s="28">
        <f t="shared" si="7"/>
        <v>152.55934627401518</v>
      </c>
      <c r="W15" s="28">
        <f t="shared" si="28"/>
        <v>-1149471.5358509012</v>
      </c>
      <c r="X15" s="29">
        <f t="shared" si="8"/>
        <v>-14368.394198136264</v>
      </c>
      <c r="Y15" s="21">
        <f t="shared" si="33"/>
        <v>-17748.517169736486</v>
      </c>
      <c r="Z15" s="18"/>
      <c r="AA15" s="18"/>
      <c r="AB15" s="18"/>
      <c r="AC15">
        <f t="shared" si="9"/>
        <v>3557.9675689370492</v>
      </c>
      <c r="AD15" s="19">
        <f t="shared" si="10"/>
        <v>282.7502370480903</v>
      </c>
      <c r="AE15" s="18">
        <f t="shared" si="11"/>
        <v>17273.438072881385</v>
      </c>
      <c r="AF15" s="18">
        <f t="shared" si="12"/>
        <v>36182.638456881388</v>
      </c>
      <c r="AG15" s="21">
        <f t="shared" si="13"/>
        <v>169.53274366292709</v>
      </c>
      <c r="AH15" s="18"/>
      <c r="AI15" s="18">
        <f t="shared" si="14"/>
        <v>-14152.476222225247</v>
      </c>
      <c r="AJ15" s="21">
        <f t="shared" si="15"/>
        <v>-17578.984426073559</v>
      </c>
      <c r="AK15" s="16"/>
      <c r="AL15" s="22">
        <f t="shared" si="16"/>
        <v>0.39999999999999997</v>
      </c>
      <c r="AM15" s="22">
        <f t="shared" si="17"/>
        <v>0.7636349952</v>
      </c>
      <c r="AN15" s="22">
        <f t="shared" si="29"/>
        <v>1.1636349952</v>
      </c>
      <c r="AO15" s="16"/>
      <c r="AP15" s="22" t="e">
        <f>#REF!/#REF!</f>
        <v>#REF!</v>
      </c>
      <c r="AQ15" s="22">
        <f t="shared" si="18"/>
        <v>1.5995847976392426</v>
      </c>
      <c r="AR15" s="22" t="e">
        <f t="shared" si="30"/>
        <v>#REF!</v>
      </c>
      <c r="AS15">
        <f t="shared" si="19"/>
        <v>30445083.941453774</v>
      </c>
      <c r="AT15">
        <f t="shared" si="20"/>
        <v>199562.23387828821</v>
      </c>
      <c r="AU15">
        <f t="shared" si="31"/>
        <v>16423971.84818312</v>
      </c>
      <c r="AV15" s="29">
        <f t="shared" si="32"/>
        <v>-14021112.093270654</v>
      </c>
      <c r="AW15" s="25">
        <f t="shared" si="21"/>
        <v>0.98812664497425107</v>
      </c>
      <c r="AX15" s="31">
        <f t="shared" si="22"/>
        <v>0.85924056084717493</v>
      </c>
      <c r="AY15" s="31">
        <f t="shared" si="23"/>
        <v>0.62852381767885301</v>
      </c>
    </row>
    <row r="16" spans="1:51" x14ac:dyDescent="0.25">
      <c r="A16" t="s">
        <v>40</v>
      </c>
      <c r="B16" t="s">
        <v>33</v>
      </c>
      <c r="C16">
        <v>18</v>
      </c>
      <c r="D16">
        <v>4</v>
      </c>
      <c r="E16">
        <v>30</v>
      </c>
      <c r="F16">
        <v>3</v>
      </c>
      <c r="G16">
        <v>28</v>
      </c>
      <c r="H16">
        <v>6</v>
      </c>
      <c r="I16" s="4">
        <f>80-J16</f>
        <v>53.369914243894605</v>
      </c>
      <c r="J16" s="4">
        <f>(J21/L21)*L16-I9</f>
        <v>26.630085756105395</v>
      </c>
      <c r="K16" s="10">
        <f t="shared" si="0"/>
        <v>0.43055555555555558</v>
      </c>
      <c r="L16" s="4">
        <v>10.36</v>
      </c>
      <c r="M16" s="4">
        <f t="shared" si="26"/>
        <v>17094</v>
      </c>
      <c r="N16">
        <f>S2</f>
        <v>1.1499999999999999</v>
      </c>
      <c r="O16" s="7">
        <f t="shared" si="2"/>
        <v>11913999.999999998</v>
      </c>
      <c r="P16" s="20">
        <f t="shared" si="3"/>
        <v>155399.99999999997</v>
      </c>
      <c r="Q16" s="20" t="s">
        <v>112</v>
      </c>
      <c r="R16" s="7">
        <f t="shared" si="27"/>
        <v>9719.9813009784684</v>
      </c>
      <c r="S16" s="7">
        <f t="shared" si="4"/>
        <v>62564.04</v>
      </c>
      <c r="T16" s="7">
        <f t="shared" si="5"/>
        <v>26630.085756105396</v>
      </c>
      <c r="U16" s="28">
        <f t="shared" si="6"/>
        <v>71.4166348653022</v>
      </c>
      <c r="V16" s="28">
        <f t="shared" si="7"/>
        <v>75.240511198042029</v>
      </c>
      <c r="W16" s="28">
        <f t="shared" si="28"/>
        <v>115503.24889005799</v>
      </c>
      <c r="X16" s="29">
        <f t="shared" si="8"/>
        <v>1443.7906111257248</v>
      </c>
      <c r="Y16" s="21">
        <f t="shared" si="33"/>
        <v>-1936.332360474496</v>
      </c>
      <c r="Z16" s="18"/>
      <c r="AA16" s="18"/>
      <c r="AB16" s="18"/>
      <c r="AC16">
        <f t="shared" si="9"/>
        <v>3108.2982254335352</v>
      </c>
      <c r="AD16" s="19">
        <f t="shared" si="10"/>
        <v>282.7502370480903</v>
      </c>
      <c r="AE16" s="18">
        <f t="shared" si="11"/>
        <v>15090.355903697451</v>
      </c>
      <c r="AF16" s="18">
        <f t="shared" si="12"/>
        <v>41720.441659802847</v>
      </c>
      <c r="AG16" s="21">
        <f t="shared" si="13"/>
        <v>238.75528369944533</v>
      </c>
      <c r="AH16" s="18"/>
      <c r="AI16" s="18">
        <f t="shared" si="14"/>
        <v>1632.420059921943</v>
      </c>
      <c r="AJ16" s="21">
        <f t="shared" si="15"/>
        <v>-1697.5770767750507</v>
      </c>
      <c r="AL16" s="22">
        <f t="shared" si="16"/>
        <v>0.40002471195131745</v>
      </c>
      <c r="AM16" s="22">
        <f t="shared" si="17"/>
        <v>0.66712392804868259</v>
      </c>
      <c r="AN16" s="22">
        <f t="shared" si="29"/>
        <v>1.0671486400000001</v>
      </c>
      <c r="AP16" s="22" t="e">
        <f>#REF!/#REF!</f>
        <v>#REF!</v>
      </c>
      <c r="AQ16" s="22">
        <f t="shared" si="18"/>
        <v>1.8444034784622929</v>
      </c>
      <c r="AR16" s="22" t="e">
        <f t="shared" si="30"/>
        <v>#REF!</v>
      </c>
      <c r="AS16">
        <f t="shared" si="19"/>
        <v>15016092.127860552</v>
      </c>
      <c r="AT16">
        <f t="shared" si="20"/>
        <v>199574.56280880922</v>
      </c>
      <c r="AU16">
        <f t="shared" si="31"/>
        <v>16424986.519164998</v>
      </c>
      <c r="AV16" s="29">
        <f t="shared" si="32"/>
        <v>1408894.3913044464</v>
      </c>
      <c r="AW16" s="25">
        <f t="shared" si="21"/>
        <v>0.96761279203238937</v>
      </c>
      <c r="AX16" s="31">
        <f t="shared" si="22"/>
        <v>0.84140242785425168</v>
      </c>
      <c r="AY16" s="31">
        <f t="shared" si="23"/>
        <v>0.15859757214574832</v>
      </c>
    </row>
    <row r="17" spans="1:51" x14ac:dyDescent="0.25">
      <c r="A17" t="s">
        <v>37</v>
      </c>
      <c r="B17" t="s">
        <v>35</v>
      </c>
      <c r="C17">
        <v>43.5</v>
      </c>
      <c r="D17">
        <v>12</v>
      </c>
      <c r="E17">
        <v>30</v>
      </c>
      <c r="F17">
        <v>3</v>
      </c>
      <c r="G17">
        <f t="shared" si="24"/>
        <v>28</v>
      </c>
      <c r="H17">
        <v>6</v>
      </c>
      <c r="I17" s="4">
        <f>H17*G17*E17*$N$2*0.0000229568</f>
        <v>45.818099711999999</v>
      </c>
      <c r="J17" s="4">
        <f>$N$4-I17</f>
        <v>34.181900288000001</v>
      </c>
      <c r="K17" s="10">
        <f t="shared" si="0"/>
        <v>0.17816091954022989</v>
      </c>
      <c r="L17" s="4">
        <f>G17*H17*$N$5/1000</f>
        <v>10.359360000000001</v>
      </c>
      <c r="M17" s="4">
        <f t="shared" si="26"/>
        <v>17092.944</v>
      </c>
      <c r="N17">
        <f>S4</f>
        <v>3.06</v>
      </c>
      <c r="O17" s="7">
        <f t="shared" si="2"/>
        <v>31699641.600000001</v>
      </c>
      <c r="P17" s="20">
        <f t="shared" si="3"/>
        <v>155390.39999999999</v>
      </c>
      <c r="Q17" s="20" t="s">
        <v>111</v>
      </c>
      <c r="R17" s="7">
        <f t="shared" si="27"/>
        <v>0</v>
      </c>
      <c r="S17" s="7">
        <f t="shared" si="4"/>
        <v>62560.175040000002</v>
      </c>
      <c r="T17" s="7">
        <f t="shared" si="5"/>
        <v>34181.900288000004</v>
      </c>
      <c r="U17" s="28">
        <f t="shared" si="6"/>
        <v>170.4331550542199</v>
      </c>
      <c r="V17" s="28">
        <f t="shared" si="7"/>
        <v>174.25703138451479</v>
      </c>
      <c r="W17" s="28">
        <f t="shared" si="28"/>
        <v>-1504454.5061037771</v>
      </c>
      <c r="X17" s="29">
        <f t="shared" si="8"/>
        <v>-18805.681326297214</v>
      </c>
      <c r="Y17" s="21">
        <f t="shared" si="33"/>
        <v>-22185.804297897434</v>
      </c>
      <c r="Z17" s="18"/>
      <c r="AA17" s="18"/>
      <c r="AB17" s="18"/>
      <c r="AC17">
        <f t="shared" si="9"/>
        <v>2668.475676702787</v>
      </c>
      <c r="AD17" s="19">
        <f t="shared" si="10"/>
        <v>282.7502370480903</v>
      </c>
      <c r="AE17" s="18">
        <f t="shared" si="11"/>
        <v>12955.078554661037</v>
      </c>
      <c r="AF17" s="18">
        <f t="shared" si="12"/>
        <v>47136.978842661039</v>
      </c>
      <c r="AG17" s="21">
        <f t="shared" si="13"/>
        <v>306.46199848517273</v>
      </c>
      <c r="AH17" s="18"/>
      <c r="AI17" s="18">
        <f t="shared" si="14"/>
        <v>-18643.742844363951</v>
      </c>
      <c r="AJ17" s="21">
        <f t="shared" si="15"/>
        <v>-21879.342299412259</v>
      </c>
      <c r="AL17" s="22">
        <f t="shared" si="16"/>
        <v>0.39999999999999997</v>
      </c>
      <c r="AM17" s="22">
        <f t="shared" si="17"/>
        <v>0.57272624640000003</v>
      </c>
      <c r="AN17" s="22">
        <f t="shared" si="29"/>
        <v>0.97272624639999994</v>
      </c>
      <c r="AP17" s="22" t="e">
        <f>#REF!/#REF!</f>
        <v>#REF!</v>
      </c>
      <c r="AQ17" s="22">
        <f t="shared" si="18"/>
        <v>2.083861154935299</v>
      </c>
      <c r="AR17" s="22" t="e">
        <f t="shared" si="30"/>
        <v>#REF!</v>
      </c>
      <c r="AS17">
        <f t="shared" si="19"/>
        <v>34775122.452092752</v>
      </c>
      <c r="AT17">
        <f t="shared" si="20"/>
        <v>199562.23387828821</v>
      </c>
      <c r="AU17">
        <f t="shared" si="31"/>
        <v>16423971.84818312</v>
      </c>
      <c r="AV17" s="29">
        <f t="shared" si="32"/>
        <v>-18351150.603909634</v>
      </c>
      <c r="AW17" s="25">
        <f t="shared" si="21"/>
        <v>0.97014343842104878</v>
      </c>
      <c r="AX17" s="31">
        <f t="shared" si="22"/>
        <v>0.84360298993134686</v>
      </c>
      <c r="AY17" s="31">
        <f t="shared" si="23"/>
        <v>0.6829596606467162</v>
      </c>
    </row>
    <row r="18" spans="1:51" x14ac:dyDescent="0.25">
      <c r="A18" t="s">
        <v>47</v>
      </c>
      <c r="B18" t="s">
        <v>36</v>
      </c>
      <c r="C18">
        <v>43.5</v>
      </c>
      <c r="D18">
        <v>12</v>
      </c>
      <c r="E18">
        <v>30</v>
      </c>
      <c r="F18">
        <v>3</v>
      </c>
      <c r="G18">
        <f t="shared" si="24"/>
        <v>28</v>
      </c>
      <c r="H18">
        <v>6</v>
      </c>
      <c r="I18" s="4">
        <f>H18*G18*E18*$N$2*0.0000229568</f>
        <v>45.818099711999999</v>
      </c>
      <c r="J18" s="4">
        <f>$N$4-I18</f>
        <v>34.181900288000001</v>
      </c>
      <c r="K18" s="10">
        <f t="shared" si="0"/>
        <v>0.17816091954022989</v>
      </c>
      <c r="L18" s="4">
        <f>G18*H18*$N$5/1000/2</f>
        <v>5.1796800000000003</v>
      </c>
      <c r="M18" s="4">
        <f t="shared" si="26"/>
        <v>8546.4719999999998</v>
      </c>
      <c r="N18">
        <f>S4</f>
        <v>3.06</v>
      </c>
      <c r="O18" s="7">
        <f t="shared" si="2"/>
        <v>15849820.800000001</v>
      </c>
      <c r="P18" s="20">
        <f t="shared" si="3"/>
        <v>77695.199999999997</v>
      </c>
      <c r="Q18" s="20" t="s">
        <v>111</v>
      </c>
      <c r="R18" s="7">
        <f t="shared" si="27"/>
        <v>0</v>
      </c>
      <c r="S18" s="7">
        <f t="shared" si="4"/>
        <v>31280.087520000001</v>
      </c>
      <c r="T18" s="7">
        <f t="shared" si="5"/>
        <v>34181.900288000004</v>
      </c>
      <c r="U18" s="28">
        <f t="shared" si="6"/>
        <v>172.52246122194833</v>
      </c>
      <c r="V18" s="28">
        <f t="shared" si="7"/>
        <v>176.34633755224323</v>
      </c>
      <c r="W18" s="28">
        <f t="shared" si="28"/>
        <v>-769318.20320188859</v>
      </c>
      <c r="X18" s="29">
        <f t="shared" si="8"/>
        <v>-9616.4775400236067</v>
      </c>
      <c r="Y18" s="21">
        <f t="shared" si="33"/>
        <v>-12996.600511623827</v>
      </c>
      <c r="Z18" s="18"/>
      <c r="AA18" s="18"/>
      <c r="AB18" s="18"/>
      <c r="AC18">
        <f t="shared" si="9"/>
        <v>2668.475676702787</v>
      </c>
      <c r="AD18" s="19">
        <f t="shared" si="10"/>
        <v>282.7502370480903</v>
      </c>
      <c r="AE18" s="18">
        <f t="shared" si="11"/>
        <v>12955.078554661037</v>
      </c>
      <c r="AF18" s="18">
        <f t="shared" si="12"/>
        <v>47136.978842661039</v>
      </c>
      <c r="AG18" s="21">
        <f t="shared" si="13"/>
        <v>306.46199848517273</v>
      </c>
      <c r="AH18" s="18"/>
      <c r="AI18" s="18">
        <f t="shared" si="14"/>
        <v>-9454.539058090344</v>
      </c>
      <c r="AJ18" s="21">
        <f t="shared" si="15"/>
        <v>-12690.138513138654</v>
      </c>
      <c r="AL18" s="22">
        <f t="shared" si="16"/>
        <v>0.19999999999999998</v>
      </c>
      <c r="AM18" s="22">
        <f t="shared" si="17"/>
        <v>0.57272624640000003</v>
      </c>
      <c r="AN18" s="22">
        <f t="shared" si="29"/>
        <v>0.77272624639999998</v>
      </c>
      <c r="AP18" s="22" t="e">
        <f>#REF!/#REF!</f>
        <v>#REF!</v>
      </c>
      <c r="AQ18" s="22">
        <f t="shared" si="18"/>
        <v>2.083861154935299</v>
      </c>
      <c r="AR18" s="22" t="e">
        <f t="shared" si="30"/>
        <v>#REF!</v>
      </c>
      <c r="AS18">
        <f t="shared" si="19"/>
        <v>17596034.529090162</v>
      </c>
      <c r="AT18">
        <f t="shared" si="20"/>
        <v>99781.116939144107</v>
      </c>
      <c r="AU18">
        <f t="shared" si="31"/>
        <v>8211985.9240915598</v>
      </c>
      <c r="AV18" s="29">
        <f t="shared" si="32"/>
        <v>-9384048.6049986035</v>
      </c>
      <c r="AW18" s="25">
        <f t="shared" si="21"/>
        <v>0.61149459602765144</v>
      </c>
      <c r="AX18" s="31">
        <f t="shared" si="22"/>
        <v>0.5317344313283926</v>
      </c>
      <c r="AY18" s="31">
        <f t="shared" si="23"/>
        <v>0.80016516469684607</v>
      </c>
    </row>
    <row r="19" spans="1:51" x14ac:dyDescent="0.25">
      <c r="A19" s="6" t="s">
        <v>61</v>
      </c>
      <c r="B19" t="s">
        <v>63</v>
      </c>
      <c r="C19">
        <v>18</v>
      </c>
      <c r="D19">
        <v>12</v>
      </c>
      <c r="E19">
        <v>18</v>
      </c>
      <c r="F19">
        <v>-4</v>
      </c>
      <c r="G19">
        <f t="shared" ref="G19" si="34">ROUNDDOWN($I$8/C19,0)</f>
        <v>70</v>
      </c>
      <c r="H19">
        <v>6</v>
      </c>
      <c r="I19" s="4">
        <f>H19*G19*E19*$N$2*0.0000229568+I9</f>
        <v>74.099040768000009</v>
      </c>
      <c r="J19" s="4">
        <f>$N$4-I19</f>
        <v>5.9009592319999911</v>
      </c>
      <c r="K19" s="10">
        <f t="shared" si="0"/>
        <v>0.43055555555555558</v>
      </c>
      <c r="L19" s="4">
        <f>G19*H19*$N$5/1000</f>
        <v>25.898399999999999</v>
      </c>
      <c r="M19" s="4">
        <f t="shared" si="26"/>
        <v>42732.36</v>
      </c>
      <c r="N19">
        <f>S4</f>
        <v>3.06</v>
      </c>
      <c r="O19" s="7">
        <f t="shared" si="2"/>
        <v>79249104</v>
      </c>
      <c r="P19" s="20">
        <f t="shared" si="3"/>
        <v>388476</v>
      </c>
      <c r="Q19" s="20" t="s">
        <v>111</v>
      </c>
      <c r="R19" s="7">
        <f t="shared" si="27"/>
        <v>0</v>
      </c>
      <c r="S19" s="7">
        <f t="shared" si="4"/>
        <v>156400.4376</v>
      </c>
      <c r="T19" s="7">
        <f t="shared" si="5"/>
        <v>5900.9592319999911</v>
      </c>
      <c r="U19" s="28">
        <f t="shared" si="6"/>
        <v>168.48812302390184</v>
      </c>
      <c r="V19" s="28">
        <f t="shared" si="7"/>
        <v>172.31199935664168</v>
      </c>
      <c r="W19" s="28">
        <f t="shared" si="28"/>
        <v>-3681582.4738094429</v>
      </c>
      <c r="X19" s="29">
        <f t="shared" si="8"/>
        <v>-46019.78092261804</v>
      </c>
      <c r="Y19" s="21">
        <f t="shared" si="33"/>
        <v>-49399.90389421826</v>
      </c>
      <c r="Z19" s="18"/>
      <c r="AA19" s="18"/>
      <c r="AB19" s="18"/>
      <c r="AC19">
        <f t="shared" si="9"/>
        <v>4315.5759230370113</v>
      </c>
      <c r="AD19" s="19">
        <f t="shared" si="10"/>
        <v>282.7502370480903</v>
      </c>
      <c r="AE19" s="18">
        <f t="shared" si="11"/>
        <v>20951.521342188109</v>
      </c>
      <c r="AF19" s="18">
        <f t="shared" si="12"/>
        <v>26852.480574188099</v>
      </c>
      <c r="AG19" s="21">
        <f t="shared" si="13"/>
        <v>52.905770129260965</v>
      </c>
      <c r="AH19" s="18"/>
      <c r="AI19" s="18">
        <f t="shared" si="14"/>
        <v>-45757.886905840685</v>
      </c>
      <c r="AJ19" s="21">
        <f t="shared" si="15"/>
        <v>-49346.998124088997</v>
      </c>
      <c r="AL19" s="22">
        <f t="shared" si="16"/>
        <v>1</v>
      </c>
      <c r="AM19" s="22">
        <f t="shared" si="17"/>
        <v>0.92623800960000013</v>
      </c>
      <c r="AN19" s="22">
        <f t="shared" si="29"/>
        <v>1.9262380096</v>
      </c>
      <c r="AP19" s="22" t="e">
        <f>#REF!/#REF!</f>
        <v>#REF!</v>
      </c>
      <c r="AQ19" s="22">
        <f t="shared" si="18"/>
        <v>1.1871113201587262</v>
      </c>
      <c r="AR19" s="22" t="e">
        <f t="shared" si="30"/>
        <v>#REF!</v>
      </c>
      <c r="AS19">
        <f t="shared" si="19"/>
        <v>85967418.789113939</v>
      </c>
      <c r="AT19">
        <f t="shared" si="20"/>
        <v>498905.58469572058</v>
      </c>
      <c r="AU19">
        <f t="shared" si="31"/>
        <v>41059929.620457806</v>
      </c>
      <c r="AV19" s="29">
        <f t="shared" si="32"/>
        <v>-44907489.168656133</v>
      </c>
      <c r="AW19" s="25">
        <f t="shared" si="21"/>
        <v>1.1986527725842129</v>
      </c>
      <c r="AX19" s="31">
        <f t="shared" si="22"/>
        <v>1.0423067587688808</v>
      </c>
      <c r="AY19" s="31">
        <f t="shared" si="23"/>
        <v>0.608283407652218</v>
      </c>
    </row>
    <row r="20" spans="1:51" x14ac:dyDescent="0.25">
      <c r="A20" t="s">
        <v>59</v>
      </c>
      <c r="B20" t="s">
        <v>62</v>
      </c>
      <c r="C20">
        <v>43.5</v>
      </c>
      <c r="D20">
        <v>8</v>
      </c>
      <c r="E20">
        <v>30</v>
      </c>
      <c r="F20">
        <v>3</v>
      </c>
      <c r="G20">
        <f>ROUNDDOWN($I$8/C20,0)</f>
        <v>28</v>
      </c>
      <c r="H20">
        <v>6</v>
      </c>
      <c r="I20" s="4">
        <f>H20*G20*E20*$N$2*0.0000229568+I10+I9</f>
        <v>51.189990911999999</v>
      </c>
      <c r="J20" s="4">
        <f>$N$4-I20</f>
        <v>28.810009088000001</v>
      </c>
      <c r="K20" s="10">
        <f t="shared" si="0"/>
        <v>0.17816091954022989</v>
      </c>
      <c r="L20" s="4">
        <f>G20*H20*$N$5/1000</f>
        <v>10.359360000000001</v>
      </c>
      <c r="M20" s="4">
        <f t="shared" si="26"/>
        <v>17092.944</v>
      </c>
      <c r="N20">
        <f>S3</f>
        <v>2.66</v>
      </c>
      <c r="O20" s="7">
        <f t="shared" si="2"/>
        <v>27555897.600000001</v>
      </c>
      <c r="P20" s="20">
        <f t="shared" si="3"/>
        <v>155390.39999999999</v>
      </c>
      <c r="Q20" s="20" t="s">
        <v>111</v>
      </c>
      <c r="R20" s="7">
        <f t="shared" si="27"/>
        <v>0</v>
      </c>
      <c r="S20" s="7">
        <f t="shared" si="4"/>
        <v>62560.175040000002</v>
      </c>
      <c r="T20" s="7">
        <f t="shared" si="5"/>
        <v>28810.009088000003</v>
      </c>
      <c r="U20" s="28">
        <f t="shared" si="6"/>
        <v>149.34063877578808</v>
      </c>
      <c r="V20" s="28">
        <f t="shared" si="7"/>
        <v>153.16451510608297</v>
      </c>
      <c r="W20" s="28">
        <f t="shared" si="28"/>
        <v>-1159372.3445509009</v>
      </c>
      <c r="X20" s="29">
        <f t="shared" si="8"/>
        <v>-14492.154306886261</v>
      </c>
      <c r="Y20" s="21">
        <f t="shared" si="33"/>
        <v>-17872.277278486483</v>
      </c>
      <c r="Z20" s="18"/>
      <c r="AA20" s="18"/>
      <c r="AB20" s="18"/>
      <c r="AC20">
        <f t="shared" si="9"/>
        <v>2981.3380846856176</v>
      </c>
      <c r="AD20" s="19">
        <f t="shared" si="10"/>
        <v>282.7502370480903</v>
      </c>
      <c r="AE20" s="18">
        <f t="shared" si="11"/>
        <v>14473.982064857588</v>
      </c>
      <c r="AF20" s="18">
        <f t="shared" si="12"/>
        <v>43283.99115285759</v>
      </c>
      <c r="AG20" s="21">
        <f t="shared" si="13"/>
        <v>258.29965236262962</v>
      </c>
      <c r="AH20" s="18"/>
      <c r="AI20" s="18">
        <f t="shared" si="14"/>
        <v>-14311.22953107554</v>
      </c>
      <c r="AJ20" s="21">
        <f t="shared" si="15"/>
        <v>-17613.977626123855</v>
      </c>
      <c r="AL20" s="22">
        <f t="shared" si="16"/>
        <v>0.39999999999999997</v>
      </c>
      <c r="AM20" s="22">
        <f t="shared" si="17"/>
        <v>0.63987488640000001</v>
      </c>
      <c r="AN20" s="22">
        <f t="shared" si="29"/>
        <v>1.0398748864</v>
      </c>
      <c r="AP20" s="22" t="e">
        <f>#REF!/#REF!</f>
        <v>#REF!</v>
      </c>
      <c r="AQ20" s="22">
        <f t="shared" si="18"/>
        <v>1.9135258561028117</v>
      </c>
      <c r="AR20" s="22" t="e">
        <f t="shared" si="30"/>
        <v>#REF!</v>
      </c>
      <c r="AS20">
        <f t="shared" si="19"/>
        <v>30565852.785454739</v>
      </c>
      <c r="AT20">
        <f t="shared" si="20"/>
        <v>199562.23387828821</v>
      </c>
      <c r="AU20">
        <f t="shared" si="31"/>
        <v>16423971.84818312</v>
      </c>
      <c r="AV20" s="29">
        <f t="shared" si="32"/>
        <v>-14141880.937271619</v>
      </c>
      <c r="AW20" s="25">
        <f t="shared" si="21"/>
        <v>0.97646870046793355</v>
      </c>
      <c r="AX20" s="31">
        <f t="shared" si="22"/>
        <v>0.84910321779820319</v>
      </c>
      <c r="AY20" s="31">
        <f t="shared" si="23"/>
        <v>0.63290650358348366</v>
      </c>
    </row>
    <row r="21" spans="1:51" ht="15.75" x14ac:dyDescent="0.25">
      <c r="A21" s="6" t="s">
        <v>39</v>
      </c>
      <c r="B21" t="s">
        <v>34</v>
      </c>
      <c r="C21">
        <v>18</v>
      </c>
      <c r="D21">
        <v>4</v>
      </c>
      <c r="E21">
        <v>0</v>
      </c>
      <c r="F21">
        <v>0</v>
      </c>
      <c r="G21">
        <f>ROUNDDOWN($I$8/C21,0)</f>
        <v>70</v>
      </c>
      <c r="H21">
        <v>6</v>
      </c>
      <c r="I21" s="4">
        <v>0</v>
      </c>
      <c r="J21">
        <v>80</v>
      </c>
      <c r="K21" s="10">
        <f t="shared" si="0"/>
        <v>0.43055555555555558</v>
      </c>
      <c r="L21" s="4">
        <f>G21*H21*$N$5/1000</f>
        <v>25.898399999999999</v>
      </c>
      <c r="M21" s="4">
        <f>L21*$N$7</f>
        <v>42732.36</v>
      </c>
      <c r="N21">
        <f>S2</f>
        <v>1.1499999999999999</v>
      </c>
      <c r="O21" s="7">
        <f t="shared" si="2"/>
        <v>29783159.999999996</v>
      </c>
      <c r="P21" s="20">
        <f t="shared" si="3"/>
        <v>388476</v>
      </c>
      <c r="Q21" s="20" t="s">
        <v>112</v>
      </c>
      <c r="R21" s="7">
        <f t="shared" si="27"/>
        <v>29200</v>
      </c>
      <c r="S21" s="7">
        <f t="shared" si="4"/>
        <v>156400.4376</v>
      </c>
      <c r="T21" s="7">
        <f t="shared" si="5"/>
        <v>80000</v>
      </c>
      <c r="U21" s="28">
        <f t="shared" si="6"/>
        <v>71.864800869860389</v>
      </c>
      <c r="V21" s="28">
        <f t="shared" si="7"/>
        <v>75.688677202600203</v>
      </c>
      <c r="W21" s="28">
        <f t="shared" si="28"/>
        <v>270409.83772801765</v>
      </c>
      <c r="X21" s="29">
        <f t="shared" si="8"/>
        <v>3380.1229716002208</v>
      </c>
      <c r="Y21" s="21">
        <f t="shared" si="33"/>
        <v>0</v>
      </c>
      <c r="Z21" s="18"/>
      <c r="AA21" s="18"/>
      <c r="AB21" s="18"/>
      <c r="AC21">
        <f t="shared" si="9"/>
        <v>0</v>
      </c>
      <c r="AD21" s="19">
        <f t="shared" si="10"/>
        <v>282.7502370480903</v>
      </c>
      <c r="AE21" s="18">
        <f t="shared" si="11"/>
        <v>0</v>
      </c>
      <c r="AF21" s="18">
        <f t="shared" si="12"/>
        <v>80000</v>
      </c>
      <c r="AG21" s="21">
        <f t="shared" si="13"/>
        <v>717.2497629519097</v>
      </c>
      <c r="AH21" s="18"/>
      <c r="AI21" s="18">
        <f t="shared" si="14"/>
        <v>3380.1229716002208</v>
      </c>
      <c r="AJ21" s="21">
        <f t="shared" si="15"/>
        <v>717.2497629519097</v>
      </c>
      <c r="AK21" s="16"/>
      <c r="AL21" s="22">
        <f t="shared" si="16"/>
        <v>1</v>
      </c>
      <c r="AM21" s="22">
        <f t="shared" si="17"/>
        <v>0</v>
      </c>
      <c r="AN21" s="22">
        <f t="shared" si="29"/>
        <v>1</v>
      </c>
      <c r="AO21" s="16"/>
      <c r="AP21" s="22" t="e">
        <f>#REF!/#REF!</f>
        <v>#REF!</v>
      </c>
      <c r="AQ21" s="22">
        <f t="shared" si="18"/>
        <v>3.536690226823469</v>
      </c>
      <c r="AR21" s="22" t="e">
        <f t="shared" si="30"/>
        <v>#REF!</v>
      </c>
      <c r="AS21">
        <f t="shared" si="19"/>
        <v>37761503.754608914</v>
      </c>
      <c r="AT21">
        <f t="shared" si="20"/>
        <v>498905.58469572058</v>
      </c>
      <c r="AU21">
        <f t="shared" si="31"/>
        <v>41059929.620457806</v>
      </c>
      <c r="AV21" s="29">
        <f t="shared" si="32"/>
        <v>3298425.8658488914</v>
      </c>
      <c r="AW21" s="25">
        <f t="shared" si="21"/>
        <v>1.1499999999999999</v>
      </c>
      <c r="AX21" s="31">
        <f t="shared" si="22"/>
        <v>1</v>
      </c>
      <c r="AY21" s="31">
        <f t="shared" si="23"/>
        <v>0</v>
      </c>
    </row>
    <row r="22" spans="1:51" ht="15.75" x14ac:dyDescent="0.25">
      <c r="A22" t="s">
        <v>38</v>
      </c>
      <c r="B22" t="s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4">
        <v>80</v>
      </c>
      <c r="J22">
        <v>0</v>
      </c>
      <c r="K22" s="10">
        <v>0</v>
      </c>
      <c r="L22" s="4">
        <f>G22*H22*$N$5/1000</f>
        <v>0</v>
      </c>
      <c r="M22" s="4">
        <f>L22*$N$7</f>
        <v>0</v>
      </c>
      <c r="N22" s="7">
        <v>0</v>
      </c>
      <c r="O22" s="7">
        <v>0</v>
      </c>
      <c r="P22" s="20">
        <f t="shared" si="3"/>
        <v>0</v>
      </c>
      <c r="Q22" s="20" t="s">
        <v>111</v>
      </c>
      <c r="R22" s="7">
        <f t="shared" ref="R22" si="35">J22*365</f>
        <v>0</v>
      </c>
      <c r="S22" s="7">
        <f t="shared" si="4"/>
        <v>0</v>
      </c>
      <c r="T22" s="7">
        <f t="shared" si="5"/>
        <v>0</v>
      </c>
      <c r="U22" s="28"/>
      <c r="V22" s="28"/>
      <c r="W22" s="28">
        <f t="shared" si="28"/>
        <v>0</v>
      </c>
      <c r="X22" s="29">
        <f t="shared" si="8"/>
        <v>0</v>
      </c>
      <c r="Y22" s="21">
        <f t="shared" si="33"/>
        <v>-3380.1229716002208</v>
      </c>
      <c r="Z22" s="18"/>
      <c r="AA22" s="18"/>
      <c r="AB22" s="18"/>
      <c r="AC22">
        <f t="shared" si="9"/>
        <v>4659.2515944154693</v>
      </c>
      <c r="AD22" s="19">
        <f t="shared" si="10"/>
        <v>282.7502370480903</v>
      </c>
      <c r="AE22" s="18">
        <f t="shared" si="11"/>
        <v>22620.018963847222</v>
      </c>
      <c r="AF22" s="18">
        <f t="shared" si="12"/>
        <v>22620.018963847222</v>
      </c>
      <c r="AG22" s="21">
        <f t="shared" si="13"/>
        <v>0</v>
      </c>
      <c r="AH22" s="18"/>
      <c r="AI22" s="18">
        <f t="shared" si="14"/>
        <v>282.7502370480903</v>
      </c>
      <c r="AJ22" s="21">
        <f t="shared" si="15"/>
        <v>-3380.1229716002208</v>
      </c>
      <c r="AK22" s="16"/>
      <c r="AL22" s="22">
        <f t="shared" si="16"/>
        <v>0</v>
      </c>
      <c r="AM22" s="22">
        <f t="shared" si="17"/>
        <v>1</v>
      </c>
      <c r="AN22" s="22">
        <f t="shared" si="29"/>
        <v>1</v>
      </c>
      <c r="AO22" s="16"/>
      <c r="AP22" s="22" t="e">
        <f>#REF!/#REF!</f>
        <v>#REF!</v>
      </c>
      <c r="AQ22" s="22">
        <f t="shared" si="18"/>
        <v>1</v>
      </c>
      <c r="AR22" s="22" t="e">
        <f t="shared" si="30"/>
        <v>#REF!</v>
      </c>
      <c r="AS22">
        <f t="shared" si="19"/>
        <v>0</v>
      </c>
      <c r="AT22">
        <f t="shared" si="20"/>
        <v>0</v>
      </c>
      <c r="AU22">
        <f t="shared" si="31"/>
        <v>0</v>
      </c>
      <c r="AV22" s="29">
        <f t="shared" si="32"/>
        <v>0</v>
      </c>
      <c r="AW22" s="25" t="e">
        <f t="shared" si="21"/>
        <v>#DIV/0!</v>
      </c>
      <c r="AX22" s="31"/>
      <c r="AY22" s="31"/>
    </row>
    <row r="23" spans="1:51" x14ac:dyDescent="0.25">
      <c r="AE23" s="18"/>
    </row>
    <row r="26" spans="1:51" ht="31.5" x14ac:dyDescent="0.25">
      <c r="AF26" s="33" t="s">
        <v>122</v>
      </c>
    </row>
    <row r="27" spans="1:51" x14ac:dyDescent="0.25">
      <c r="AF27" s="32">
        <f>NPV(AI5/100,AF12,AF12,AF12,AF12,AF12,AF12,AF12,AF12,AF12,AF12,AF12,AF12,AF12,AF12,AF12,AF12,AF12,AF12,AF12,AF12,AF12,AF12,AF12,AF12,AF12)/AI2</f>
        <v>47136.97884266109</v>
      </c>
    </row>
  </sheetData>
  <mergeCells count="2">
    <mergeCell ref="AL10:AN10"/>
    <mergeCell ref="AP10:AR10"/>
  </mergeCells>
  <hyperlinks>
    <hyperlink ref="H1" r:id="rId1" xr:uid="{00000000-0004-0000-0000-000000000000}"/>
  </hyperlinks>
  <pageMargins left="0.7" right="0.7" top="0.75" bottom="0.75" header="0.3" footer="0.3"/>
  <pageSetup orientation="portrait" horizontalDpi="1200" verticalDpi="12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B5949-340A-DC46-ABE6-F71C7FB549AD}">
  <sheetPr codeName="Sheet2"/>
  <dimension ref="A1:AY27"/>
  <sheetViews>
    <sheetView zoomScale="117" zoomScaleNormal="85" workbookViewId="0">
      <selection activeCell="F15" sqref="F15"/>
    </sheetView>
  </sheetViews>
  <sheetFormatPr defaultColWidth="8.85546875" defaultRowHeight="15" x14ac:dyDescent="0.25"/>
  <cols>
    <col min="1" max="1" width="26.140625" bestFit="1" customWidth="1"/>
    <col min="2" max="2" width="109" bestFit="1" customWidth="1"/>
    <col min="3" max="3" width="14.42578125" bestFit="1" customWidth="1"/>
    <col min="4" max="4" width="16.7109375" bestFit="1" customWidth="1"/>
    <col min="5" max="5" width="12.140625" bestFit="1" customWidth="1"/>
    <col min="6" max="6" width="13.140625" bestFit="1" customWidth="1"/>
    <col min="7" max="7" width="12.42578125" bestFit="1" customWidth="1"/>
    <col min="8" max="8" width="46.42578125" bestFit="1" customWidth="1"/>
    <col min="9" max="9" width="15.42578125" bestFit="1" customWidth="1"/>
    <col min="10" max="10" width="9.28515625" bestFit="1" customWidth="1"/>
    <col min="11" max="11" width="7.7109375" bestFit="1" customWidth="1"/>
    <col min="12" max="12" width="23" bestFit="1" customWidth="1"/>
    <col min="13" max="13" width="13.140625" bestFit="1" customWidth="1"/>
    <col min="14" max="14" width="12.42578125" bestFit="1" customWidth="1"/>
    <col min="15" max="15" width="15.140625" bestFit="1" customWidth="1"/>
    <col min="16" max="16" width="11.28515625" bestFit="1" customWidth="1"/>
    <col min="17" max="17" width="14.140625" bestFit="1" customWidth="1"/>
    <col min="18" max="18" width="32.28515625" bestFit="1" customWidth="1"/>
    <col min="19" max="19" width="11.85546875" bestFit="1" customWidth="1"/>
    <col min="20" max="20" width="52.42578125" bestFit="1" customWidth="1"/>
    <col min="21" max="21" width="25.85546875" bestFit="1" customWidth="1"/>
    <col min="22" max="22" width="9.42578125" bestFit="1" customWidth="1"/>
    <col min="23" max="23" width="16.28515625" bestFit="1" customWidth="1"/>
    <col min="24" max="24" width="19.85546875" bestFit="1" customWidth="1"/>
    <col min="25" max="25" width="19.140625" bestFit="1" customWidth="1"/>
    <col min="29" max="29" width="16" bestFit="1" customWidth="1"/>
    <col min="30" max="30" width="9.7109375" bestFit="1" customWidth="1"/>
    <col min="31" max="31" width="16.7109375" bestFit="1" customWidth="1"/>
    <col min="32" max="32" width="29.42578125" bestFit="1" customWidth="1"/>
    <col min="33" max="33" width="23.7109375" bestFit="1" customWidth="1"/>
    <col min="34" max="34" width="44" bestFit="1" customWidth="1"/>
    <col min="35" max="36" width="16" bestFit="1" customWidth="1"/>
    <col min="38" max="40" width="16" bestFit="1" customWidth="1"/>
    <col min="42" max="42" width="7.42578125" bestFit="1" customWidth="1"/>
    <col min="43" max="43" width="16" bestFit="1" customWidth="1"/>
    <col min="44" max="44" width="9" bestFit="1" customWidth="1"/>
    <col min="45" max="47" width="16" bestFit="1" customWidth="1"/>
    <col min="48" max="48" width="16.7109375" bestFit="1" customWidth="1"/>
    <col min="49" max="49" width="11" bestFit="1" customWidth="1"/>
    <col min="50" max="50" width="9.42578125" bestFit="1" customWidth="1"/>
    <col min="51" max="51" width="19.7109375" bestFit="1" customWidth="1"/>
  </cols>
  <sheetData>
    <row r="1" spans="1:51" x14ac:dyDescent="0.25">
      <c r="B1" s="1" t="s">
        <v>0</v>
      </c>
      <c r="H1" s="3" t="s">
        <v>10</v>
      </c>
      <c r="AH1" s="12"/>
    </row>
    <row r="2" spans="1:51" x14ac:dyDescent="0.25">
      <c r="B2" t="s">
        <v>1</v>
      </c>
      <c r="H2" t="s">
        <v>21</v>
      </c>
      <c r="I2">
        <v>7.75</v>
      </c>
      <c r="J2" t="s">
        <v>14</v>
      </c>
      <c r="L2" t="s">
        <v>25</v>
      </c>
      <c r="N2">
        <v>396</v>
      </c>
      <c r="O2" t="s">
        <v>14</v>
      </c>
      <c r="R2" t="s">
        <v>91</v>
      </c>
      <c r="S2">
        <v>1.1499999999999999</v>
      </c>
      <c r="T2" t="s">
        <v>65</v>
      </c>
      <c r="AD2" t="s">
        <v>66</v>
      </c>
      <c r="AG2" t="s">
        <v>117</v>
      </c>
      <c r="AH2" s="12" t="s">
        <v>118</v>
      </c>
      <c r="AI2">
        <f>(1-(1+AI5/100)^(-AI3))/AI5*100</f>
        <v>12.197876725056499</v>
      </c>
      <c r="AJ2">
        <f>(1-(1+AI5/100)^(-AI3))/AI5*100</f>
        <v>12.197876725056499</v>
      </c>
    </row>
    <row r="3" spans="1:51" x14ac:dyDescent="0.25">
      <c r="B3" t="s">
        <v>2</v>
      </c>
      <c r="H3" t="s">
        <v>11</v>
      </c>
      <c r="I3">
        <v>3.5</v>
      </c>
      <c r="J3" t="s">
        <v>14</v>
      </c>
      <c r="L3" t="s">
        <v>26</v>
      </c>
      <c r="N3">
        <v>10</v>
      </c>
      <c r="O3" t="s">
        <v>14</v>
      </c>
      <c r="R3" t="s">
        <v>99</v>
      </c>
      <c r="S3">
        <v>2.66</v>
      </c>
      <c r="T3" t="s">
        <v>65</v>
      </c>
      <c r="U3" s="13" t="s">
        <v>67</v>
      </c>
      <c r="V3" s="13"/>
      <c r="W3">
        <v>58.240644930193369</v>
      </c>
      <c r="X3">
        <f>W3*80</f>
        <v>4659.2515944154693</v>
      </c>
      <c r="AG3" t="s">
        <v>68</v>
      </c>
      <c r="AH3" t="s">
        <v>69</v>
      </c>
      <c r="AI3">
        <v>25</v>
      </c>
    </row>
    <row r="4" spans="1:51" x14ac:dyDescent="0.25">
      <c r="B4" t="s">
        <v>3</v>
      </c>
      <c r="H4" t="s">
        <v>12</v>
      </c>
      <c r="I4">
        <v>545</v>
      </c>
      <c r="J4" t="s">
        <v>13</v>
      </c>
      <c r="L4" t="s">
        <v>27</v>
      </c>
      <c r="N4">
        <v>80</v>
      </c>
      <c r="O4" t="s">
        <v>28</v>
      </c>
      <c r="R4" t="s">
        <v>100</v>
      </c>
      <c r="S4">
        <v>3.06</v>
      </c>
      <c r="T4" t="s">
        <v>98</v>
      </c>
      <c r="U4" s="13" t="s">
        <v>71</v>
      </c>
      <c r="V4" s="13"/>
      <c r="W4">
        <v>9.69</v>
      </c>
      <c r="AG4" t="s">
        <v>72</v>
      </c>
      <c r="AH4" s="14" t="s">
        <v>73</v>
      </c>
      <c r="AI4">
        <v>0</v>
      </c>
    </row>
    <row r="5" spans="1:51" ht="30" x14ac:dyDescent="0.25">
      <c r="B5" t="s">
        <v>60</v>
      </c>
      <c r="H5" t="s">
        <v>24</v>
      </c>
      <c r="I5">
        <v>30</v>
      </c>
      <c r="J5" t="s">
        <v>14</v>
      </c>
      <c r="L5" s="2" t="s">
        <v>29</v>
      </c>
      <c r="M5" s="2"/>
      <c r="N5" s="4">
        <f>(N2/I3)*(I4/1000)</f>
        <v>61.662857142857142</v>
      </c>
      <c r="O5" t="s">
        <v>30</v>
      </c>
      <c r="R5" t="s">
        <v>92</v>
      </c>
      <c r="S5">
        <v>15</v>
      </c>
      <c r="T5" t="s">
        <v>70</v>
      </c>
      <c r="U5" s="15" t="s">
        <v>74</v>
      </c>
      <c r="V5" s="15"/>
      <c r="W5">
        <v>2.5</v>
      </c>
      <c r="X5" t="s">
        <v>70</v>
      </c>
      <c r="AG5" t="s">
        <v>75</v>
      </c>
      <c r="AH5" s="14" t="s">
        <v>76</v>
      </c>
      <c r="AI5">
        <v>6.5</v>
      </c>
    </row>
    <row r="6" spans="1:51" ht="15.75" x14ac:dyDescent="0.25">
      <c r="B6" t="s">
        <v>4</v>
      </c>
      <c r="H6" s="1" t="s">
        <v>22</v>
      </c>
      <c r="S6">
        <v>1000</v>
      </c>
      <c r="T6" t="s">
        <v>70</v>
      </c>
      <c r="U6" s="15" t="s">
        <v>78</v>
      </c>
      <c r="V6" s="15"/>
      <c r="W6">
        <v>136</v>
      </c>
      <c r="X6" t="s">
        <v>77</v>
      </c>
      <c r="AB6" s="16"/>
      <c r="AG6" t="s">
        <v>79</v>
      </c>
      <c r="AH6" t="s">
        <v>80</v>
      </c>
      <c r="AI6">
        <v>0.5</v>
      </c>
    </row>
    <row r="7" spans="1:51" ht="15.75" x14ac:dyDescent="0.25">
      <c r="B7" t="s">
        <v>5</v>
      </c>
      <c r="H7" t="s">
        <v>21</v>
      </c>
      <c r="I7">
        <f>2640-I5*2</f>
        <v>2580</v>
      </c>
      <c r="J7" t="s">
        <v>23</v>
      </c>
      <c r="L7" t="s">
        <v>51</v>
      </c>
      <c r="N7">
        <v>1650</v>
      </c>
      <c r="O7" t="s">
        <v>52</v>
      </c>
      <c r="R7" s="13" t="s">
        <v>93</v>
      </c>
      <c r="S7">
        <v>3.6669999999999998</v>
      </c>
      <c r="T7" t="s">
        <v>77</v>
      </c>
      <c r="X7" t="s">
        <v>81</v>
      </c>
      <c r="AB7" s="16"/>
    </row>
    <row r="8" spans="1:51" x14ac:dyDescent="0.25">
      <c r="B8" t="s">
        <v>15</v>
      </c>
      <c r="H8" t="s">
        <v>11</v>
      </c>
      <c r="I8">
        <f>1320-I5*2</f>
        <v>1260</v>
      </c>
      <c r="J8" t="s">
        <v>23</v>
      </c>
      <c r="R8" s="13" t="s">
        <v>94</v>
      </c>
      <c r="S8">
        <f>S10*10</f>
        <v>75.7</v>
      </c>
      <c r="T8" t="s">
        <v>81</v>
      </c>
      <c r="X8" t="s">
        <v>82</v>
      </c>
    </row>
    <row r="9" spans="1:51" x14ac:dyDescent="0.25">
      <c r="H9" s="8" t="s">
        <v>58</v>
      </c>
      <c r="I9" s="8">
        <f>60*(2640+1260)*0.0000229568</f>
        <v>5.3718912000000003</v>
      </c>
      <c r="J9" s="8" t="s">
        <v>28</v>
      </c>
      <c r="R9" s="13" t="s">
        <v>95</v>
      </c>
      <c r="S9">
        <v>6.6</v>
      </c>
      <c r="T9" t="s">
        <v>82</v>
      </c>
    </row>
    <row r="10" spans="1:51" x14ac:dyDescent="0.25">
      <c r="R10" t="s">
        <v>96</v>
      </c>
      <c r="S10">
        <v>7.57</v>
      </c>
      <c r="T10" t="s">
        <v>97</v>
      </c>
      <c r="AL10" s="34" t="s">
        <v>108</v>
      </c>
      <c r="AM10" s="34"/>
      <c r="AN10" s="34"/>
      <c r="AP10" s="34" t="s">
        <v>109</v>
      </c>
      <c r="AQ10" s="34"/>
      <c r="AR10" s="34"/>
    </row>
    <row r="11" spans="1:51" s="2" customFormat="1" ht="105" x14ac:dyDescent="0.25">
      <c r="A11" s="5" t="s">
        <v>49</v>
      </c>
      <c r="B11" s="5" t="s">
        <v>48</v>
      </c>
      <c r="C11" s="5" t="s">
        <v>18</v>
      </c>
      <c r="D11" s="5" t="s">
        <v>19</v>
      </c>
      <c r="E11" s="5" t="s">
        <v>31</v>
      </c>
      <c r="F11" s="5" t="s">
        <v>44</v>
      </c>
      <c r="G11" s="5" t="s">
        <v>45</v>
      </c>
      <c r="H11" s="5" t="s">
        <v>46</v>
      </c>
      <c r="I11" s="5" t="s">
        <v>43</v>
      </c>
      <c r="J11" s="5" t="s">
        <v>42</v>
      </c>
      <c r="K11" s="9" t="s">
        <v>50</v>
      </c>
      <c r="L11" s="5" t="s">
        <v>54</v>
      </c>
      <c r="M11" s="17" t="s">
        <v>89</v>
      </c>
      <c r="N11" s="5" t="s">
        <v>16</v>
      </c>
      <c r="O11" s="5" t="s">
        <v>17</v>
      </c>
      <c r="P11" s="5" t="s">
        <v>90</v>
      </c>
      <c r="Q11" s="5" t="s">
        <v>110</v>
      </c>
      <c r="R11" s="5" t="s">
        <v>55</v>
      </c>
      <c r="S11" s="5" t="s">
        <v>53</v>
      </c>
      <c r="T11" s="5" t="s">
        <v>64</v>
      </c>
      <c r="U11" s="30" t="s">
        <v>83</v>
      </c>
      <c r="V11" s="30" t="s">
        <v>84</v>
      </c>
      <c r="W11" s="30" t="str">
        <f>_xlfn.CONCAT("ANPV for entire project at payment of $ ", S8 + S9," / MWh")</f>
        <v>ANPV for entire project at payment of $ 82.3 / MWh</v>
      </c>
      <c r="X11" s="30" t="str">
        <f>_xlfn.CONCAT("ANPV per acre at payment of $ ", S8 + S9," / MWh")</f>
        <v>ANPV per acre at payment of $ 82.3 / MWh</v>
      </c>
      <c r="Y11" s="23" t="s">
        <v>102</v>
      </c>
      <c r="Z11" s="17"/>
      <c r="AA11" s="17"/>
      <c r="AB11" s="17"/>
      <c r="AC11" s="17" t="s">
        <v>85</v>
      </c>
      <c r="AD11" s="17" t="s">
        <v>86</v>
      </c>
      <c r="AE11" s="17" t="s">
        <v>87</v>
      </c>
      <c r="AF11" s="17" t="s">
        <v>101</v>
      </c>
      <c r="AG11" s="23" t="s">
        <v>103</v>
      </c>
      <c r="AH11" s="17"/>
      <c r="AI11" s="17" t="s">
        <v>88</v>
      </c>
      <c r="AJ11" s="23" t="s">
        <v>104</v>
      </c>
      <c r="AL11" s="24" t="s">
        <v>105</v>
      </c>
      <c r="AM11" s="24" t="s">
        <v>106</v>
      </c>
      <c r="AN11" s="24" t="s">
        <v>107</v>
      </c>
      <c r="AP11" s="24" t="s">
        <v>105</v>
      </c>
      <c r="AQ11" s="24" t="s">
        <v>106</v>
      </c>
      <c r="AR11" s="24" t="s">
        <v>107</v>
      </c>
      <c r="AS11" s="24" t="s">
        <v>113</v>
      </c>
      <c r="AT11" s="24" t="s">
        <v>114</v>
      </c>
      <c r="AU11" s="24" t="s">
        <v>115</v>
      </c>
      <c r="AV11" s="27" t="s">
        <v>116</v>
      </c>
      <c r="AW11" s="26" t="s">
        <v>120</v>
      </c>
      <c r="AX11" s="2" t="s">
        <v>119</v>
      </c>
      <c r="AY11" s="2" t="s">
        <v>121</v>
      </c>
    </row>
    <row r="12" spans="1:51" x14ac:dyDescent="0.25">
      <c r="A12" s="6" t="s">
        <v>32</v>
      </c>
      <c r="B12" t="s">
        <v>6</v>
      </c>
      <c r="C12">
        <v>43.5</v>
      </c>
      <c r="D12">
        <v>8</v>
      </c>
      <c r="E12">
        <v>30</v>
      </c>
      <c r="F12">
        <v>3</v>
      </c>
      <c r="G12">
        <f>ROUNDDOWN($I$8/C12,0)</f>
        <v>28</v>
      </c>
      <c r="H12">
        <f>ROUNDDOWN(I7/N2,0)</f>
        <v>6</v>
      </c>
      <c r="I12" s="4">
        <f>H12*G12*E12*$N$2*0.0000229568</f>
        <v>45.818099711999999</v>
      </c>
      <c r="J12" s="4">
        <f>$N$4-I12</f>
        <v>34.181900288000001</v>
      </c>
      <c r="K12" s="10">
        <f t="shared" ref="K12:K21" si="0">$I$2/C12</f>
        <v>0.17816091954022989</v>
      </c>
      <c r="L12" s="4">
        <f t="shared" ref="L12:L15" si="1">G12*H12*$N$5/1000</f>
        <v>10.359360000000001</v>
      </c>
      <c r="M12" s="4">
        <f>L12*$N$7</f>
        <v>17092.944</v>
      </c>
      <c r="N12">
        <f>S3</f>
        <v>2.66</v>
      </c>
      <c r="O12" s="7">
        <f t="shared" ref="O12:O21" si="2">L12*N12*1000000</f>
        <v>27555897.600000001</v>
      </c>
      <c r="P12" s="20">
        <f t="shared" ref="P12:P22" si="3">$S$5*L12*1000</f>
        <v>155390.39999999999</v>
      </c>
      <c r="Q12" s="20" t="s">
        <v>111</v>
      </c>
      <c r="R12" s="7">
        <f>IF(Q12="yes",J12*365,0)</f>
        <v>0</v>
      </c>
      <c r="S12" s="7">
        <f t="shared" ref="S12:S22" si="4">L12*$N$7*3.66</f>
        <v>62560.175040000002</v>
      </c>
      <c r="T12" s="7">
        <f t="shared" ref="T12:T22" si="5">1000*J12</f>
        <v>34181.900288000004</v>
      </c>
      <c r="U12" s="28">
        <f t="shared" ref="U12:U21" si="6">lcoe($AI$3,$M12,$T12,$L12,$AI$5,$AI$4,$P12+R12,$O12,0,$AI$6)</f>
        <v>149.66898580500595</v>
      </c>
      <c r="V12" s="28">
        <f t="shared" ref="V12:V21" si="7">lcoe($AI$3,$M12,$T12,$L12,$AI$5,$AI$4,$P12+R12,$O12,$S12,$AI$6)</f>
        <v>153.49286213530084</v>
      </c>
      <c r="W12" s="28">
        <f>AV12/$AI$2</f>
        <v>-1164744.235750901</v>
      </c>
      <c r="X12" s="29">
        <f t="shared" ref="X12:X22" si="8">AV12/$AI$2/$N$4</f>
        <v>-14559.302946886262</v>
      </c>
      <c r="Y12" s="21">
        <f>X12-$X$21</f>
        <v>-17939.425918486482</v>
      </c>
      <c r="Z12" s="18"/>
      <c r="AA12" s="18"/>
      <c r="AB12" s="18"/>
      <c r="AC12">
        <f t="shared" ref="AC12:AC22" si="9">$W$3*I12</f>
        <v>2668.475676702787</v>
      </c>
      <c r="AD12" s="19">
        <f t="shared" ref="AD12:AD22" si="10">$W$3*($W$4-$W$5)-$W$6</f>
        <v>282.7502370480903</v>
      </c>
      <c r="AE12" s="18">
        <f t="shared" ref="AE12:AE22" si="11">AD12*I12</f>
        <v>12955.078554661037</v>
      </c>
      <c r="AF12" s="18">
        <f t="shared" ref="AF12:AF22" si="12">AE12+T12</f>
        <v>47136.978842661039</v>
      </c>
      <c r="AG12" s="21">
        <f t="shared" ref="AG12:AG22" si="13">(AF12-$AF$22)/$N$4</f>
        <v>306.46199848517273</v>
      </c>
      <c r="AH12" s="18"/>
      <c r="AI12" s="18">
        <f t="shared" ref="AI12:AI22" si="14">(W12+AE12)/$N$4</f>
        <v>-14397.364464953</v>
      </c>
      <c r="AJ12" s="21">
        <f t="shared" ref="AJ12:AJ22" si="15">Y12+AG12</f>
        <v>-17632.963920001308</v>
      </c>
      <c r="AL12" s="22">
        <f t="shared" ref="AL12:AL22" si="16">M12/$M$21</f>
        <v>0.39999999999999997</v>
      </c>
      <c r="AM12" s="22">
        <f t="shared" ref="AM12:AM22" si="17">AC12/$AC$22</f>
        <v>0.57272624640000003</v>
      </c>
      <c r="AN12" s="22">
        <f>AL12+AM12</f>
        <v>0.97272624639999994</v>
      </c>
      <c r="AP12" s="22" t="e">
        <f>#REF!/#REF!</f>
        <v>#REF!</v>
      </c>
      <c r="AQ12" s="22">
        <f t="shared" ref="AQ12:AQ22" si="18">AF12/$AF$22</f>
        <v>2.083861154935299</v>
      </c>
      <c r="AR12" s="22" t="e">
        <f>AP12+AQ12</f>
        <v>#REF!</v>
      </c>
      <c r="AS12">
        <f t="shared" ref="AS12:AS22" si="19">lcoe_cost($AI$3,$M12,$T12,$L12,$AI$5,$AI$4,$P12+R12,$O12,$S12,$AI$6)</f>
        <v>30631378.452092756</v>
      </c>
      <c r="AT12">
        <f t="shared" ref="AT12:AT22" si="20">lcoe_gen($AI$3,$M12,$T12,$L12,$AI$5,$AI$4,$P12+R12,$O12,$S12,$AI$6)</f>
        <v>199562.23387828821</v>
      </c>
      <c r="AU12">
        <f>AT12*($S$9+$S$8)</f>
        <v>16423971.84818312</v>
      </c>
      <c r="AV12" s="29">
        <f>AU12-AS12</f>
        <v>-14207406.603909636</v>
      </c>
      <c r="AW12" s="25">
        <f t="shared" ref="AW12:AW22" si="21">-($AV$21-AV12-O12)/1000000/L12</f>
        <v>0.97014343842104878</v>
      </c>
      <c r="AX12" s="31">
        <f t="shared" ref="AX12:AX21" si="22">AW12/$AW$21</f>
        <v>0.84360298993134686</v>
      </c>
      <c r="AY12" s="31">
        <f t="shared" ref="AY12:AY21" si="23">(N12-AW12)/N12</f>
        <v>0.63528442164622223</v>
      </c>
    </row>
    <row r="13" spans="1:51" x14ac:dyDescent="0.25">
      <c r="A13" s="11" t="s">
        <v>57</v>
      </c>
      <c r="B13" t="s">
        <v>8</v>
      </c>
      <c r="C13">
        <v>33.5</v>
      </c>
      <c r="D13">
        <v>8</v>
      </c>
      <c r="E13">
        <v>20</v>
      </c>
      <c r="F13">
        <v>3</v>
      </c>
      <c r="G13">
        <f t="shared" ref="G13:G19" si="24">ROUNDDOWN($I$8/C13,0)</f>
        <v>37</v>
      </c>
      <c r="H13">
        <v>6</v>
      </c>
      <c r="I13" s="4">
        <f>H13*G13*E13*$N$2*0.0000229568</f>
        <v>40.363564031999999</v>
      </c>
      <c r="J13" s="4">
        <f t="shared" ref="J13:J15" si="25">$N$4-I13</f>
        <v>39.636435968000001</v>
      </c>
      <c r="K13" s="10">
        <f t="shared" si="0"/>
        <v>0.23134328358208955</v>
      </c>
      <c r="L13" s="4">
        <f t="shared" si="1"/>
        <v>13.689154285714284</v>
      </c>
      <c r="M13" s="4">
        <f t="shared" ref="M13:M20" si="26">L13*$N$7</f>
        <v>22587.104571428568</v>
      </c>
      <c r="N13">
        <f>S3</f>
        <v>2.66</v>
      </c>
      <c r="O13" s="7">
        <f t="shared" si="2"/>
        <v>36413150.399999999</v>
      </c>
      <c r="P13" s="20">
        <f t="shared" si="3"/>
        <v>205337.31428571427</v>
      </c>
      <c r="Q13" s="20" t="s">
        <v>111</v>
      </c>
      <c r="R13" s="7">
        <f t="shared" ref="R13:R21" si="27">IF(Q13="yes",J13*365,0)</f>
        <v>0</v>
      </c>
      <c r="S13" s="7">
        <f t="shared" si="4"/>
        <v>82668.802731428557</v>
      </c>
      <c r="T13" s="7">
        <f t="shared" si="5"/>
        <v>39636.435967999998</v>
      </c>
      <c r="U13" s="28">
        <f t="shared" si="6"/>
        <v>149.41307778176198</v>
      </c>
      <c r="V13" s="28">
        <f t="shared" si="7"/>
        <v>153.23695411304809</v>
      </c>
      <c r="W13" s="28">
        <f t="shared" ref="W13:W22" si="28">AV13/$AI$2</f>
        <v>-1533593.8078672618</v>
      </c>
      <c r="X13" s="29">
        <f t="shared" si="8"/>
        <v>-19169.922598340774</v>
      </c>
      <c r="Y13" s="21">
        <f>X13-$X$21</f>
        <v>-22550.045569940994</v>
      </c>
      <c r="Z13" s="18"/>
      <c r="AA13" s="18"/>
      <c r="AB13" s="18"/>
      <c r="AC13">
        <f t="shared" si="9"/>
        <v>2350.800000904836</v>
      </c>
      <c r="AD13" s="19">
        <f t="shared" si="10"/>
        <v>282.7502370480903</v>
      </c>
      <c r="AE13" s="18">
        <f t="shared" si="11"/>
        <v>11412.807298153772</v>
      </c>
      <c r="AF13" s="18">
        <f t="shared" si="12"/>
        <v>51049.243266153768</v>
      </c>
      <c r="AG13" s="21">
        <f t="shared" si="13"/>
        <v>355.36530377883184</v>
      </c>
      <c r="AH13" s="18"/>
      <c r="AI13" s="18">
        <f t="shared" si="14"/>
        <v>-19027.26250711385</v>
      </c>
      <c r="AJ13" s="21">
        <f t="shared" si="15"/>
        <v>-22194.680266162162</v>
      </c>
      <c r="AL13" s="22">
        <f t="shared" si="16"/>
        <v>0.52857142857142847</v>
      </c>
      <c r="AM13" s="22">
        <f t="shared" si="17"/>
        <v>0.50454455040000001</v>
      </c>
      <c r="AN13" s="22">
        <f t="shared" ref="AN13:AN22" si="29">AL13+AM13</f>
        <v>1.0331159789714284</v>
      </c>
      <c r="AP13" s="22" t="e">
        <f>#REF!/#REF!</f>
        <v>#REF!</v>
      </c>
      <c r="AQ13" s="22">
        <f t="shared" si="18"/>
        <v>2.2568169968267475</v>
      </c>
      <c r="AR13" s="22" t="e">
        <f t="shared" ref="AR13:AR22" si="30">AP13+AQ13</f>
        <v>#REF!</v>
      </c>
      <c r="AS13">
        <f t="shared" si="19"/>
        <v>40409693.871202536</v>
      </c>
      <c r="AT13">
        <f t="shared" si="20"/>
        <v>263707.23762488086</v>
      </c>
      <c r="AU13">
        <f t="shared" ref="AU13:AU22" si="31">AT13*($S$9+$S$8)</f>
        <v>21703105.656527694</v>
      </c>
      <c r="AV13" s="29">
        <f t="shared" ref="AV13:AV22" si="32">AU13-AS13</f>
        <v>-18706588.214674842</v>
      </c>
      <c r="AW13" s="25">
        <f t="shared" si="21"/>
        <v>1.052522019896605</v>
      </c>
      <c r="AX13" s="31">
        <f t="shared" si="22"/>
        <v>0.91523653904052615</v>
      </c>
      <c r="AY13" s="31">
        <f t="shared" si="23"/>
        <v>0.60431503011405829</v>
      </c>
    </row>
    <row r="14" spans="1:51" x14ac:dyDescent="0.25">
      <c r="A14" s="6" t="s">
        <v>56</v>
      </c>
      <c r="B14" t="s">
        <v>9</v>
      </c>
      <c r="C14">
        <v>23.5</v>
      </c>
      <c r="D14">
        <v>8</v>
      </c>
      <c r="E14">
        <v>10</v>
      </c>
      <c r="F14">
        <v>3</v>
      </c>
      <c r="G14">
        <f>ROUNDDOWN($I$8/C14,0)</f>
        <v>53</v>
      </c>
      <c r="H14">
        <v>6</v>
      </c>
      <c r="I14" s="4">
        <f>H14*G14*E14*$N$2*0.0000229568</f>
        <v>28.909039104000001</v>
      </c>
      <c r="J14" s="4">
        <f t="shared" si="25"/>
        <v>51.090960895999999</v>
      </c>
      <c r="K14" s="10">
        <f t="shared" si="0"/>
        <v>0.32978723404255317</v>
      </c>
      <c r="L14" s="4">
        <f t="shared" si="1"/>
        <v>19.608788571428569</v>
      </c>
      <c r="M14" s="4">
        <f t="shared" si="26"/>
        <v>32354.501142857138</v>
      </c>
      <c r="N14">
        <f>S3</f>
        <v>2.66</v>
      </c>
      <c r="O14" s="7">
        <f t="shared" si="2"/>
        <v>52159377.600000001</v>
      </c>
      <c r="P14" s="20">
        <f t="shared" si="3"/>
        <v>294131.82857142849</v>
      </c>
      <c r="Q14" s="20" t="s">
        <v>111</v>
      </c>
      <c r="R14" s="7">
        <f t="shared" si="27"/>
        <v>0</v>
      </c>
      <c r="S14" s="7">
        <f t="shared" si="4"/>
        <v>118417.47418285713</v>
      </c>
      <c r="T14" s="7">
        <f t="shared" si="5"/>
        <v>51090.960895999997</v>
      </c>
      <c r="U14" s="28">
        <f>lcoe($AI$3,$M14,$T14,$L14,$AI$5,$AI$4,$P14+R14,$O14,0,$AI$6)</f>
        <v>149.22948273897825</v>
      </c>
      <c r="V14" s="28">
        <f t="shared" si="7"/>
        <v>153.05335907227166</v>
      </c>
      <c r="W14" s="28">
        <f t="shared" si="28"/>
        <v>-2191083.9530963483</v>
      </c>
      <c r="X14" s="29">
        <f t="shared" si="8"/>
        <v>-27388.549413704353</v>
      </c>
      <c r="Y14" s="21">
        <f t="shared" ref="Y14:Y22" si="33">X14-$X$21</f>
        <v>-30768.672385304573</v>
      </c>
      <c r="Z14" s="18"/>
      <c r="AA14" s="18"/>
      <c r="AB14" s="18"/>
      <c r="AC14">
        <f t="shared" si="9"/>
        <v>1683.6810817291396</v>
      </c>
      <c r="AD14" s="19">
        <f t="shared" si="10"/>
        <v>282.7502370480903</v>
      </c>
      <c r="AE14" s="18">
        <f t="shared" si="11"/>
        <v>8174.037659488512</v>
      </c>
      <c r="AF14" s="18">
        <f t="shared" si="12"/>
        <v>59264.998555488506</v>
      </c>
      <c r="AG14" s="21">
        <f t="shared" si="13"/>
        <v>458.06224489551607</v>
      </c>
      <c r="AH14" s="18"/>
      <c r="AI14" s="18">
        <f t="shared" si="14"/>
        <v>-27286.373942960745</v>
      </c>
      <c r="AJ14" s="21">
        <f t="shared" si="15"/>
        <v>-30310.610140409059</v>
      </c>
      <c r="AL14" s="22">
        <f t="shared" si="16"/>
        <v>0.75714285714285701</v>
      </c>
      <c r="AM14" s="22">
        <f t="shared" si="17"/>
        <v>0.36136298880000006</v>
      </c>
      <c r="AN14" s="22">
        <f t="shared" si="29"/>
        <v>1.118505845942857</v>
      </c>
      <c r="AP14" s="22" t="e">
        <f>#REF!/#REF!</f>
        <v>#REF!</v>
      </c>
      <c r="AQ14" s="22">
        <f t="shared" si="18"/>
        <v>2.6200242647987899</v>
      </c>
      <c r="AR14" s="22" t="e">
        <f t="shared" si="30"/>
        <v>#REF!</v>
      </c>
      <c r="AS14">
        <f t="shared" si="19"/>
        <v>57814804.381036781</v>
      </c>
      <c r="AT14">
        <f t="shared" si="20"/>
        <v>377742.79984104552</v>
      </c>
      <c r="AU14">
        <f t="shared" si="31"/>
        <v>31088232.426918045</v>
      </c>
      <c r="AV14" s="29">
        <f t="shared" si="32"/>
        <v>-26726571.954118736</v>
      </c>
      <c r="AW14" s="25">
        <f t="shared" si="21"/>
        <v>1.1287989413218407</v>
      </c>
      <c r="AX14" s="31">
        <f t="shared" si="22"/>
        <v>0.98156429680160062</v>
      </c>
      <c r="AY14" s="31">
        <f t="shared" si="23"/>
        <v>0.57563949574366891</v>
      </c>
    </row>
    <row r="15" spans="1:51" ht="15.75" x14ac:dyDescent="0.25">
      <c r="A15" s="11" t="s">
        <v>41</v>
      </c>
      <c r="B15" t="s">
        <v>7</v>
      </c>
      <c r="C15">
        <v>43.5</v>
      </c>
      <c r="D15">
        <v>8</v>
      </c>
      <c r="E15">
        <v>40</v>
      </c>
      <c r="F15">
        <v>-2</v>
      </c>
      <c r="G15">
        <f t="shared" si="24"/>
        <v>28</v>
      </c>
      <c r="H15">
        <v>6</v>
      </c>
      <c r="I15" s="4">
        <f>H15*G15*E15*$N$2*0.0000229568</f>
        <v>61.090799615999998</v>
      </c>
      <c r="J15" s="4">
        <f t="shared" si="25"/>
        <v>18.909200384000002</v>
      </c>
      <c r="K15" s="10">
        <f t="shared" si="0"/>
        <v>0.17816091954022989</v>
      </c>
      <c r="L15" s="4">
        <f t="shared" si="1"/>
        <v>10.359360000000001</v>
      </c>
      <c r="M15" s="4">
        <f t="shared" si="26"/>
        <v>17092.944</v>
      </c>
      <c r="N15">
        <f>S3</f>
        <v>2.66</v>
      </c>
      <c r="O15" s="7">
        <f t="shared" si="2"/>
        <v>27555897.600000001</v>
      </c>
      <c r="P15" s="20">
        <f t="shared" si="3"/>
        <v>155390.39999999999</v>
      </c>
      <c r="Q15" s="20" t="s">
        <v>111</v>
      </c>
      <c r="R15" s="7">
        <f t="shared" si="27"/>
        <v>0</v>
      </c>
      <c r="S15" s="7">
        <f t="shared" si="4"/>
        <v>62560.175040000002</v>
      </c>
      <c r="T15" s="7">
        <f t="shared" si="5"/>
        <v>18909.200384000003</v>
      </c>
      <c r="U15" s="28">
        <f t="shared" si="6"/>
        <v>148.73546994372026</v>
      </c>
      <c r="V15" s="28">
        <f t="shared" si="7"/>
        <v>152.55934627401518</v>
      </c>
      <c r="W15" s="28">
        <f>AV15/$AI$2</f>
        <v>-1149471.5358509012</v>
      </c>
      <c r="X15" s="29">
        <f t="shared" si="8"/>
        <v>-14368.394198136264</v>
      </c>
      <c r="Y15" s="21">
        <f t="shared" si="33"/>
        <v>-17748.517169736486</v>
      </c>
      <c r="Z15" s="18"/>
      <c r="AA15" s="18"/>
      <c r="AB15" s="18"/>
      <c r="AC15">
        <f t="shared" si="9"/>
        <v>3557.9675689370492</v>
      </c>
      <c r="AD15" s="19">
        <f t="shared" si="10"/>
        <v>282.7502370480903</v>
      </c>
      <c r="AE15" s="18">
        <f t="shared" si="11"/>
        <v>17273.438072881385</v>
      </c>
      <c r="AF15" s="18">
        <f t="shared" si="12"/>
        <v>36182.638456881388</v>
      </c>
      <c r="AG15" s="21">
        <f t="shared" si="13"/>
        <v>169.53274366292709</v>
      </c>
      <c r="AH15" s="18"/>
      <c r="AI15" s="18">
        <f t="shared" si="14"/>
        <v>-14152.476222225247</v>
      </c>
      <c r="AJ15" s="21">
        <f t="shared" si="15"/>
        <v>-17578.984426073559</v>
      </c>
      <c r="AK15" s="16"/>
      <c r="AL15" s="22">
        <f t="shared" si="16"/>
        <v>0.39999999999999997</v>
      </c>
      <c r="AM15" s="22">
        <f t="shared" si="17"/>
        <v>0.7636349952</v>
      </c>
      <c r="AN15" s="22">
        <f t="shared" si="29"/>
        <v>1.1636349952</v>
      </c>
      <c r="AO15" s="16"/>
      <c r="AP15" s="22" t="e">
        <f>#REF!/#REF!</f>
        <v>#REF!</v>
      </c>
      <c r="AQ15" s="22">
        <f t="shared" si="18"/>
        <v>1.5995847976392426</v>
      </c>
      <c r="AR15" s="22" t="e">
        <f t="shared" si="30"/>
        <v>#REF!</v>
      </c>
      <c r="AS15">
        <f t="shared" si="19"/>
        <v>30445083.941453774</v>
      </c>
      <c r="AT15">
        <f t="shared" si="20"/>
        <v>199562.23387828821</v>
      </c>
      <c r="AU15">
        <f t="shared" si="31"/>
        <v>16423971.84818312</v>
      </c>
      <c r="AV15" s="29">
        <f t="shared" si="32"/>
        <v>-14021112.093270654</v>
      </c>
      <c r="AW15" s="25">
        <f t="shared" si="21"/>
        <v>0.98812664497425107</v>
      </c>
      <c r="AX15" s="31">
        <f t="shared" si="22"/>
        <v>0.85924056084717493</v>
      </c>
      <c r="AY15" s="31">
        <f t="shared" si="23"/>
        <v>0.62852381767885301</v>
      </c>
    </row>
    <row r="16" spans="1:51" x14ac:dyDescent="0.25">
      <c r="A16" t="s">
        <v>40</v>
      </c>
      <c r="B16" t="s">
        <v>33</v>
      </c>
      <c r="C16">
        <v>18</v>
      </c>
      <c r="D16">
        <v>4</v>
      </c>
      <c r="E16">
        <v>30</v>
      </c>
      <c r="F16">
        <v>3</v>
      </c>
      <c r="G16">
        <v>28</v>
      </c>
      <c r="H16">
        <v>6</v>
      </c>
      <c r="I16" s="4">
        <f>80-J16</f>
        <v>53.369914243894605</v>
      </c>
      <c r="J16" s="4">
        <f>(J21/L21)*L16-I9</f>
        <v>26.630085756105395</v>
      </c>
      <c r="K16" s="10">
        <f t="shared" si="0"/>
        <v>0.43055555555555558</v>
      </c>
      <c r="L16" s="4">
        <v>10.36</v>
      </c>
      <c r="M16" s="4">
        <f t="shared" si="26"/>
        <v>17094</v>
      </c>
      <c r="N16">
        <f>S2</f>
        <v>1.1499999999999999</v>
      </c>
      <c r="O16" s="7">
        <f t="shared" si="2"/>
        <v>11913999.999999998</v>
      </c>
      <c r="P16" s="20">
        <f t="shared" si="3"/>
        <v>155399.99999999997</v>
      </c>
      <c r="Q16" s="20" t="s">
        <v>112</v>
      </c>
      <c r="R16" s="7">
        <f t="shared" si="27"/>
        <v>9719.9813009784684</v>
      </c>
      <c r="S16" s="7">
        <f t="shared" si="4"/>
        <v>62564.04</v>
      </c>
      <c r="T16" s="7">
        <f t="shared" si="5"/>
        <v>26630.085756105396</v>
      </c>
      <c r="U16" s="28">
        <f t="shared" si="6"/>
        <v>71.4166348653022</v>
      </c>
      <c r="V16" s="28">
        <f t="shared" si="7"/>
        <v>75.240511198042029</v>
      </c>
      <c r="W16" s="28">
        <f t="shared" si="28"/>
        <v>115503.24889005799</v>
      </c>
      <c r="X16" s="29">
        <f t="shared" si="8"/>
        <v>1443.7906111257248</v>
      </c>
      <c r="Y16" s="21">
        <f t="shared" si="33"/>
        <v>-1936.332360474496</v>
      </c>
      <c r="Z16" s="18"/>
      <c r="AA16" s="18"/>
      <c r="AB16" s="18"/>
      <c r="AC16">
        <f t="shared" si="9"/>
        <v>3108.2982254335352</v>
      </c>
      <c r="AD16" s="19">
        <f t="shared" si="10"/>
        <v>282.7502370480903</v>
      </c>
      <c r="AE16" s="18">
        <f t="shared" si="11"/>
        <v>15090.355903697451</v>
      </c>
      <c r="AF16" s="18">
        <f t="shared" si="12"/>
        <v>41720.441659802847</v>
      </c>
      <c r="AG16" s="21">
        <f t="shared" si="13"/>
        <v>238.75528369944533</v>
      </c>
      <c r="AH16" s="18"/>
      <c r="AI16" s="18">
        <f t="shared" si="14"/>
        <v>1632.420059921943</v>
      </c>
      <c r="AJ16" s="21">
        <f t="shared" si="15"/>
        <v>-1697.5770767750507</v>
      </c>
      <c r="AL16" s="22">
        <f t="shared" si="16"/>
        <v>0.40002471195131745</v>
      </c>
      <c r="AM16" s="22">
        <f t="shared" si="17"/>
        <v>0.66712392804868259</v>
      </c>
      <c r="AN16" s="22">
        <f t="shared" si="29"/>
        <v>1.0671486400000001</v>
      </c>
      <c r="AP16" s="22" t="e">
        <f>#REF!/#REF!</f>
        <v>#REF!</v>
      </c>
      <c r="AQ16" s="22">
        <f t="shared" si="18"/>
        <v>1.8444034784622929</v>
      </c>
      <c r="AR16" s="22" t="e">
        <f t="shared" si="30"/>
        <v>#REF!</v>
      </c>
      <c r="AS16">
        <f t="shared" si="19"/>
        <v>15016092.127860552</v>
      </c>
      <c r="AT16">
        <f t="shared" si="20"/>
        <v>199574.56280880922</v>
      </c>
      <c r="AU16">
        <f t="shared" si="31"/>
        <v>16424986.519164998</v>
      </c>
      <c r="AV16" s="29">
        <f t="shared" si="32"/>
        <v>1408894.3913044464</v>
      </c>
      <c r="AW16" s="25">
        <f t="shared" si="21"/>
        <v>0.96761279203238937</v>
      </c>
      <c r="AX16" s="31">
        <f t="shared" si="22"/>
        <v>0.84140242785425168</v>
      </c>
      <c r="AY16" s="31">
        <f t="shared" si="23"/>
        <v>0.15859757214574832</v>
      </c>
    </row>
    <row r="17" spans="1:51" x14ac:dyDescent="0.25">
      <c r="A17" t="s">
        <v>37</v>
      </c>
      <c r="B17" t="s">
        <v>35</v>
      </c>
      <c r="C17">
        <v>43.5</v>
      </c>
      <c r="D17">
        <v>12</v>
      </c>
      <c r="E17">
        <v>30</v>
      </c>
      <c r="F17">
        <v>3</v>
      </c>
      <c r="G17">
        <f t="shared" si="24"/>
        <v>28</v>
      </c>
      <c r="H17">
        <v>6</v>
      </c>
      <c r="I17" s="4">
        <f>H17*G17*E17*$N$2*0.0000229568</f>
        <v>45.818099711999999</v>
      </c>
      <c r="J17" s="4">
        <f>$N$4-I17</f>
        <v>34.181900288000001</v>
      </c>
      <c r="K17" s="10">
        <f t="shared" si="0"/>
        <v>0.17816091954022989</v>
      </c>
      <c r="L17" s="4">
        <f>G17*H17*$N$5/1000</f>
        <v>10.359360000000001</v>
      </c>
      <c r="M17" s="4">
        <f t="shared" si="26"/>
        <v>17092.944</v>
      </c>
      <c r="N17">
        <f>S4</f>
        <v>3.06</v>
      </c>
      <c r="O17" s="7">
        <f t="shared" si="2"/>
        <v>31699641.600000001</v>
      </c>
      <c r="P17" s="20">
        <f t="shared" si="3"/>
        <v>155390.39999999999</v>
      </c>
      <c r="Q17" s="20" t="s">
        <v>111</v>
      </c>
      <c r="R17" s="7">
        <f t="shared" si="27"/>
        <v>0</v>
      </c>
      <c r="S17" s="7">
        <f t="shared" si="4"/>
        <v>62560.175040000002</v>
      </c>
      <c r="T17" s="7">
        <f t="shared" si="5"/>
        <v>34181.900288000004</v>
      </c>
      <c r="U17" s="28">
        <f t="shared" si="6"/>
        <v>170.4331550542199</v>
      </c>
      <c r="V17" s="28">
        <f t="shared" si="7"/>
        <v>174.25703138451479</v>
      </c>
      <c r="W17" s="28">
        <f t="shared" si="28"/>
        <v>-1504454.5061037771</v>
      </c>
      <c r="X17" s="29">
        <f t="shared" si="8"/>
        <v>-18805.681326297214</v>
      </c>
      <c r="Y17" s="21">
        <f t="shared" si="33"/>
        <v>-22185.804297897434</v>
      </c>
      <c r="Z17" s="18"/>
      <c r="AA17" s="18"/>
      <c r="AB17" s="18"/>
      <c r="AC17">
        <f t="shared" si="9"/>
        <v>2668.475676702787</v>
      </c>
      <c r="AD17" s="19">
        <f t="shared" si="10"/>
        <v>282.7502370480903</v>
      </c>
      <c r="AE17" s="18">
        <f t="shared" si="11"/>
        <v>12955.078554661037</v>
      </c>
      <c r="AF17" s="18">
        <f t="shared" si="12"/>
        <v>47136.978842661039</v>
      </c>
      <c r="AG17" s="21">
        <f t="shared" si="13"/>
        <v>306.46199848517273</v>
      </c>
      <c r="AH17" s="18"/>
      <c r="AI17" s="18">
        <f t="shared" si="14"/>
        <v>-18643.742844363951</v>
      </c>
      <c r="AJ17" s="21">
        <f t="shared" si="15"/>
        <v>-21879.342299412259</v>
      </c>
      <c r="AL17" s="22">
        <f t="shared" si="16"/>
        <v>0.39999999999999997</v>
      </c>
      <c r="AM17" s="22">
        <f t="shared" si="17"/>
        <v>0.57272624640000003</v>
      </c>
      <c r="AN17" s="22">
        <f t="shared" si="29"/>
        <v>0.97272624639999994</v>
      </c>
      <c r="AP17" s="22" t="e">
        <f>#REF!/#REF!</f>
        <v>#REF!</v>
      </c>
      <c r="AQ17" s="22">
        <f t="shared" si="18"/>
        <v>2.083861154935299</v>
      </c>
      <c r="AR17" s="22" t="e">
        <f t="shared" si="30"/>
        <v>#REF!</v>
      </c>
      <c r="AS17">
        <f t="shared" si="19"/>
        <v>34775122.452092752</v>
      </c>
      <c r="AT17">
        <f t="shared" si="20"/>
        <v>199562.23387828821</v>
      </c>
      <c r="AU17">
        <f t="shared" si="31"/>
        <v>16423971.84818312</v>
      </c>
      <c r="AV17" s="29">
        <f t="shared" si="32"/>
        <v>-18351150.603909634</v>
      </c>
      <c r="AW17" s="25">
        <f t="shared" si="21"/>
        <v>0.97014343842104878</v>
      </c>
      <c r="AX17" s="31">
        <f t="shared" si="22"/>
        <v>0.84360298993134686</v>
      </c>
      <c r="AY17" s="31">
        <f t="shared" si="23"/>
        <v>0.6829596606467162</v>
      </c>
    </row>
    <row r="18" spans="1:51" x14ac:dyDescent="0.25">
      <c r="A18" t="s">
        <v>47</v>
      </c>
      <c r="B18" t="s">
        <v>36</v>
      </c>
      <c r="C18">
        <v>43.5</v>
      </c>
      <c r="D18">
        <v>12</v>
      </c>
      <c r="E18">
        <v>30</v>
      </c>
      <c r="F18">
        <v>3</v>
      </c>
      <c r="G18">
        <f t="shared" si="24"/>
        <v>28</v>
      </c>
      <c r="H18">
        <v>6</v>
      </c>
      <c r="I18" s="4">
        <f>H18*G18*E18*$N$2*0.0000229568</f>
        <v>45.818099711999999</v>
      </c>
      <c r="J18" s="4">
        <f>$N$4-I18</f>
        <v>34.181900288000001</v>
      </c>
      <c r="K18" s="10">
        <f t="shared" si="0"/>
        <v>0.17816091954022989</v>
      </c>
      <c r="L18" s="4">
        <f>G18*H18*$N$5/1000/2</f>
        <v>5.1796800000000003</v>
      </c>
      <c r="M18" s="4">
        <f t="shared" si="26"/>
        <v>8546.4719999999998</v>
      </c>
      <c r="N18">
        <f>S4</f>
        <v>3.06</v>
      </c>
      <c r="O18" s="7">
        <f t="shared" si="2"/>
        <v>15849820.800000001</v>
      </c>
      <c r="P18" s="20">
        <f t="shared" si="3"/>
        <v>77695.199999999997</v>
      </c>
      <c r="Q18" s="20" t="s">
        <v>111</v>
      </c>
      <c r="R18" s="7">
        <f t="shared" si="27"/>
        <v>0</v>
      </c>
      <c r="S18" s="7">
        <f t="shared" si="4"/>
        <v>31280.087520000001</v>
      </c>
      <c r="T18" s="7">
        <f t="shared" si="5"/>
        <v>34181.900288000004</v>
      </c>
      <c r="U18" s="28">
        <f t="shared" si="6"/>
        <v>172.52246122194833</v>
      </c>
      <c r="V18" s="28">
        <f t="shared" si="7"/>
        <v>176.34633755224323</v>
      </c>
      <c r="W18" s="28">
        <f t="shared" si="28"/>
        <v>-769318.20320188859</v>
      </c>
      <c r="X18" s="29">
        <f t="shared" si="8"/>
        <v>-9616.4775400236067</v>
      </c>
      <c r="Y18" s="21">
        <f t="shared" si="33"/>
        <v>-12996.600511623827</v>
      </c>
      <c r="Z18" s="18"/>
      <c r="AA18" s="18"/>
      <c r="AB18" s="18"/>
      <c r="AC18">
        <f t="shared" si="9"/>
        <v>2668.475676702787</v>
      </c>
      <c r="AD18" s="19">
        <f t="shared" si="10"/>
        <v>282.7502370480903</v>
      </c>
      <c r="AE18" s="18">
        <f t="shared" si="11"/>
        <v>12955.078554661037</v>
      </c>
      <c r="AF18" s="18">
        <f t="shared" si="12"/>
        <v>47136.978842661039</v>
      </c>
      <c r="AG18" s="21">
        <f t="shared" si="13"/>
        <v>306.46199848517273</v>
      </c>
      <c r="AH18" s="18"/>
      <c r="AI18" s="18">
        <f t="shared" si="14"/>
        <v>-9454.539058090344</v>
      </c>
      <c r="AJ18" s="21">
        <f t="shared" si="15"/>
        <v>-12690.138513138654</v>
      </c>
      <c r="AL18" s="22">
        <f t="shared" si="16"/>
        <v>0.19999999999999998</v>
      </c>
      <c r="AM18" s="22">
        <f t="shared" si="17"/>
        <v>0.57272624640000003</v>
      </c>
      <c r="AN18" s="22">
        <f t="shared" si="29"/>
        <v>0.77272624639999998</v>
      </c>
      <c r="AP18" s="22" t="e">
        <f>#REF!/#REF!</f>
        <v>#REF!</v>
      </c>
      <c r="AQ18" s="22">
        <f t="shared" si="18"/>
        <v>2.083861154935299</v>
      </c>
      <c r="AR18" s="22" t="e">
        <f t="shared" si="30"/>
        <v>#REF!</v>
      </c>
      <c r="AS18">
        <f t="shared" si="19"/>
        <v>17596034.529090162</v>
      </c>
      <c r="AT18">
        <f t="shared" si="20"/>
        <v>99781.116939144107</v>
      </c>
      <c r="AU18">
        <f t="shared" si="31"/>
        <v>8211985.9240915598</v>
      </c>
      <c r="AV18" s="29">
        <f t="shared" si="32"/>
        <v>-9384048.6049986035</v>
      </c>
      <c r="AW18" s="25">
        <f t="shared" si="21"/>
        <v>0.61149459602765144</v>
      </c>
      <c r="AX18" s="31">
        <f t="shared" si="22"/>
        <v>0.5317344313283926</v>
      </c>
      <c r="AY18" s="31">
        <f t="shared" si="23"/>
        <v>0.80016516469684607</v>
      </c>
    </row>
    <row r="19" spans="1:51" x14ac:dyDescent="0.25">
      <c r="A19" s="6" t="s">
        <v>61</v>
      </c>
      <c r="B19" t="s">
        <v>63</v>
      </c>
      <c r="C19">
        <v>18</v>
      </c>
      <c r="D19">
        <v>12</v>
      </c>
      <c r="E19">
        <v>18</v>
      </c>
      <c r="F19">
        <v>-4</v>
      </c>
      <c r="G19">
        <f t="shared" si="24"/>
        <v>70</v>
      </c>
      <c r="H19">
        <v>6</v>
      </c>
      <c r="I19" s="4">
        <f>H19*G19*E19*$N$2*0.0000229568+I9</f>
        <v>74.099040768000009</v>
      </c>
      <c r="J19" s="4">
        <f>$N$4-I19</f>
        <v>5.9009592319999911</v>
      </c>
      <c r="K19" s="10">
        <f t="shared" si="0"/>
        <v>0.43055555555555558</v>
      </c>
      <c r="L19" s="4">
        <f>G19*H19*$N$5/1000</f>
        <v>25.898399999999999</v>
      </c>
      <c r="M19" s="4">
        <f t="shared" si="26"/>
        <v>42732.36</v>
      </c>
      <c r="N19">
        <f>S4</f>
        <v>3.06</v>
      </c>
      <c r="O19" s="7">
        <f t="shared" si="2"/>
        <v>79249104</v>
      </c>
      <c r="P19" s="20">
        <f t="shared" si="3"/>
        <v>388476</v>
      </c>
      <c r="Q19" s="20" t="s">
        <v>111</v>
      </c>
      <c r="R19" s="7">
        <f t="shared" si="27"/>
        <v>0</v>
      </c>
      <c r="S19" s="7">
        <f t="shared" si="4"/>
        <v>156400.4376</v>
      </c>
      <c r="T19" s="7">
        <f t="shared" si="5"/>
        <v>5900.9592319999911</v>
      </c>
      <c r="U19" s="28">
        <f t="shared" si="6"/>
        <v>168.48812302390184</v>
      </c>
      <c r="V19" s="28">
        <f t="shared" si="7"/>
        <v>172.31199935664168</v>
      </c>
      <c r="W19" s="28">
        <f t="shared" si="28"/>
        <v>-3681582.4738094429</v>
      </c>
      <c r="X19" s="29">
        <f t="shared" si="8"/>
        <v>-46019.78092261804</v>
      </c>
      <c r="Y19" s="21">
        <f t="shared" si="33"/>
        <v>-49399.90389421826</v>
      </c>
      <c r="Z19" s="18"/>
      <c r="AA19" s="18"/>
      <c r="AB19" s="18"/>
      <c r="AC19">
        <f t="shared" si="9"/>
        <v>4315.5759230370113</v>
      </c>
      <c r="AD19" s="19">
        <f t="shared" si="10"/>
        <v>282.7502370480903</v>
      </c>
      <c r="AE19" s="18">
        <f t="shared" si="11"/>
        <v>20951.521342188109</v>
      </c>
      <c r="AF19" s="18">
        <f t="shared" si="12"/>
        <v>26852.480574188099</v>
      </c>
      <c r="AG19" s="21">
        <f t="shared" si="13"/>
        <v>52.905770129260965</v>
      </c>
      <c r="AH19" s="18"/>
      <c r="AI19" s="18">
        <f t="shared" si="14"/>
        <v>-45757.886905840685</v>
      </c>
      <c r="AJ19" s="21">
        <f t="shared" si="15"/>
        <v>-49346.998124088997</v>
      </c>
      <c r="AL19" s="22">
        <f t="shared" si="16"/>
        <v>1</v>
      </c>
      <c r="AM19" s="22">
        <f t="shared" si="17"/>
        <v>0.92623800960000013</v>
      </c>
      <c r="AN19" s="22">
        <f t="shared" si="29"/>
        <v>1.9262380096</v>
      </c>
      <c r="AP19" s="22" t="e">
        <f>#REF!/#REF!</f>
        <v>#REF!</v>
      </c>
      <c r="AQ19" s="22">
        <f t="shared" si="18"/>
        <v>1.1871113201587262</v>
      </c>
      <c r="AR19" s="22" t="e">
        <f t="shared" si="30"/>
        <v>#REF!</v>
      </c>
      <c r="AS19">
        <f t="shared" si="19"/>
        <v>85967418.789113939</v>
      </c>
      <c r="AT19">
        <f t="shared" si="20"/>
        <v>498905.58469572058</v>
      </c>
      <c r="AU19">
        <f t="shared" si="31"/>
        <v>41059929.620457806</v>
      </c>
      <c r="AV19" s="29">
        <f t="shared" si="32"/>
        <v>-44907489.168656133</v>
      </c>
      <c r="AW19" s="25">
        <f t="shared" si="21"/>
        <v>1.1986527725842129</v>
      </c>
      <c r="AX19" s="31">
        <f t="shared" si="22"/>
        <v>1.0423067587688808</v>
      </c>
      <c r="AY19" s="31">
        <f t="shared" si="23"/>
        <v>0.608283407652218</v>
      </c>
    </row>
    <row r="20" spans="1:51" x14ac:dyDescent="0.25">
      <c r="A20" t="s">
        <v>59</v>
      </c>
      <c r="B20" t="s">
        <v>62</v>
      </c>
      <c r="C20">
        <v>43.5</v>
      </c>
      <c r="D20">
        <v>8</v>
      </c>
      <c r="E20">
        <v>30</v>
      </c>
      <c r="F20">
        <v>3</v>
      </c>
      <c r="G20">
        <f>ROUNDDOWN($I$8/C20,0)</f>
        <v>28</v>
      </c>
      <c r="H20">
        <v>6</v>
      </c>
      <c r="I20" s="4">
        <f>H20*G20*E20*$N$2*0.0000229568+I10+I9</f>
        <v>51.189990911999999</v>
      </c>
      <c r="J20" s="4">
        <f>$N$4-I20</f>
        <v>28.810009088000001</v>
      </c>
      <c r="K20" s="10">
        <f t="shared" si="0"/>
        <v>0.17816091954022989</v>
      </c>
      <c r="L20" s="4">
        <f>G20*H20*$N$5/1000</f>
        <v>10.359360000000001</v>
      </c>
      <c r="M20" s="4">
        <f t="shared" si="26"/>
        <v>17092.944</v>
      </c>
      <c r="N20">
        <f>S3</f>
        <v>2.66</v>
      </c>
      <c r="O20" s="7">
        <f t="shared" si="2"/>
        <v>27555897.600000001</v>
      </c>
      <c r="P20" s="20">
        <f t="shared" si="3"/>
        <v>155390.39999999999</v>
      </c>
      <c r="Q20" s="20" t="s">
        <v>111</v>
      </c>
      <c r="R20" s="7">
        <f t="shared" si="27"/>
        <v>0</v>
      </c>
      <c r="S20" s="7">
        <f t="shared" si="4"/>
        <v>62560.175040000002</v>
      </c>
      <c r="T20" s="7">
        <f t="shared" si="5"/>
        <v>28810.009088000003</v>
      </c>
      <c r="U20" s="28">
        <f t="shared" si="6"/>
        <v>149.34063877578808</v>
      </c>
      <c r="V20" s="28">
        <f t="shared" si="7"/>
        <v>153.16451510608297</v>
      </c>
      <c r="W20" s="28">
        <f t="shared" si="28"/>
        <v>-1159372.3445509009</v>
      </c>
      <c r="X20" s="29">
        <f t="shared" si="8"/>
        <v>-14492.154306886261</v>
      </c>
      <c r="Y20" s="21">
        <f t="shared" si="33"/>
        <v>-17872.277278486483</v>
      </c>
      <c r="Z20" s="18"/>
      <c r="AA20" s="18"/>
      <c r="AB20" s="18"/>
      <c r="AC20">
        <f t="shared" si="9"/>
        <v>2981.3380846856176</v>
      </c>
      <c r="AD20" s="19">
        <f t="shared" si="10"/>
        <v>282.7502370480903</v>
      </c>
      <c r="AE20" s="18">
        <f t="shared" si="11"/>
        <v>14473.982064857588</v>
      </c>
      <c r="AF20" s="18">
        <f t="shared" si="12"/>
        <v>43283.99115285759</v>
      </c>
      <c r="AG20" s="21">
        <f t="shared" si="13"/>
        <v>258.29965236262962</v>
      </c>
      <c r="AH20" s="18"/>
      <c r="AI20" s="18">
        <f t="shared" si="14"/>
        <v>-14311.22953107554</v>
      </c>
      <c r="AJ20" s="21">
        <f t="shared" si="15"/>
        <v>-17613.977626123855</v>
      </c>
      <c r="AL20" s="22">
        <f t="shared" si="16"/>
        <v>0.39999999999999997</v>
      </c>
      <c r="AM20" s="22">
        <f t="shared" si="17"/>
        <v>0.63987488640000001</v>
      </c>
      <c r="AN20" s="22">
        <f t="shared" si="29"/>
        <v>1.0398748864</v>
      </c>
      <c r="AP20" s="22" t="e">
        <f>#REF!/#REF!</f>
        <v>#REF!</v>
      </c>
      <c r="AQ20" s="22">
        <f t="shared" si="18"/>
        <v>1.9135258561028117</v>
      </c>
      <c r="AR20" s="22" t="e">
        <f t="shared" si="30"/>
        <v>#REF!</v>
      </c>
      <c r="AS20">
        <f t="shared" si="19"/>
        <v>30565852.785454739</v>
      </c>
      <c r="AT20">
        <f t="shared" si="20"/>
        <v>199562.23387828821</v>
      </c>
      <c r="AU20">
        <f t="shared" si="31"/>
        <v>16423971.84818312</v>
      </c>
      <c r="AV20" s="29">
        <f t="shared" si="32"/>
        <v>-14141880.937271619</v>
      </c>
      <c r="AW20" s="25">
        <f t="shared" si="21"/>
        <v>0.97646870046793355</v>
      </c>
      <c r="AX20" s="31">
        <f t="shared" si="22"/>
        <v>0.84910321779820319</v>
      </c>
      <c r="AY20" s="31">
        <f t="shared" si="23"/>
        <v>0.63290650358348366</v>
      </c>
    </row>
    <row r="21" spans="1:51" ht="15.75" x14ac:dyDescent="0.25">
      <c r="A21" s="6" t="s">
        <v>39</v>
      </c>
      <c r="B21" t="s">
        <v>34</v>
      </c>
      <c r="C21">
        <v>18</v>
      </c>
      <c r="D21">
        <v>4</v>
      </c>
      <c r="E21">
        <v>0</v>
      </c>
      <c r="F21">
        <v>0</v>
      </c>
      <c r="G21">
        <f>ROUNDDOWN($I$8/C21,0)</f>
        <v>70</v>
      </c>
      <c r="H21">
        <v>6</v>
      </c>
      <c r="I21" s="4">
        <v>0</v>
      </c>
      <c r="J21">
        <v>80</v>
      </c>
      <c r="K21" s="10">
        <f t="shared" si="0"/>
        <v>0.43055555555555558</v>
      </c>
      <c r="L21" s="4">
        <f>G21*H21*$N$5/1000</f>
        <v>25.898399999999999</v>
      </c>
      <c r="M21" s="4">
        <f>L21*$N$7</f>
        <v>42732.36</v>
      </c>
      <c r="N21">
        <f>S2</f>
        <v>1.1499999999999999</v>
      </c>
      <c r="O21" s="7">
        <f t="shared" si="2"/>
        <v>29783159.999999996</v>
      </c>
      <c r="P21" s="20">
        <f t="shared" si="3"/>
        <v>388476</v>
      </c>
      <c r="Q21" s="20" t="s">
        <v>112</v>
      </c>
      <c r="R21" s="7">
        <f t="shared" si="27"/>
        <v>29200</v>
      </c>
      <c r="S21" s="7">
        <f t="shared" si="4"/>
        <v>156400.4376</v>
      </c>
      <c r="T21" s="7">
        <f t="shared" si="5"/>
        <v>80000</v>
      </c>
      <c r="U21" s="28">
        <f t="shared" si="6"/>
        <v>71.864800869860389</v>
      </c>
      <c r="V21" s="28">
        <f t="shared" si="7"/>
        <v>75.688677202600203</v>
      </c>
      <c r="W21" s="28">
        <f t="shared" si="28"/>
        <v>270409.83772801765</v>
      </c>
      <c r="X21" s="29">
        <f t="shared" si="8"/>
        <v>3380.1229716002208</v>
      </c>
      <c r="Y21" s="21">
        <f t="shared" si="33"/>
        <v>0</v>
      </c>
      <c r="Z21" s="18"/>
      <c r="AA21" s="18"/>
      <c r="AB21" s="18"/>
      <c r="AC21">
        <f t="shared" si="9"/>
        <v>0</v>
      </c>
      <c r="AD21" s="19">
        <f t="shared" si="10"/>
        <v>282.7502370480903</v>
      </c>
      <c r="AE21" s="18">
        <f t="shared" si="11"/>
        <v>0</v>
      </c>
      <c r="AF21" s="18">
        <f t="shared" si="12"/>
        <v>80000</v>
      </c>
      <c r="AG21" s="21">
        <f t="shared" si="13"/>
        <v>717.2497629519097</v>
      </c>
      <c r="AH21" s="18"/>
      <c r="AI21" s="18">
        <f t="shared" si="14"/>
        <v>3380.1229716002208</v>
      </c>
      <c r="AJ21" s="21">
        <f t="shared" si="15"/>
        <v>717.2497629519097</v>
      </c>
      <c r="AK21" s="16"/>
      <c r="AL21" s="22">
        <f t="shared" si="16"/>
        <v>1</v>
      </c>
      <c r="AM21" s="22">
        <f t="shared" si="17"/>
        <v>0</v>
      </c>
      <c r="AN21" s="22">
        <f t="shared" si="29"/>
        <v>1</v>
      </c>
      <c r="AO21" s="16"/>
      <c r="AP21" s="22" t="e">
        <f>#REF!/#REF!</f>
        <v>#REF!</v>
      </c>
      <c r="AQ21" s="22">
        <f t="shared" si="18"/>
        <v>3.536690226823469</v>
      </c>
      <c r="AR21" s="22" t="e">
        <f t="shared" si="30"/>
        <v>#REF!</v>
      </c>
      <c r="AS21">
        <f t="shared" si="19"/>
        <v>37761503.754608914</v>
      </c>
      <c r="AT21">
        <f t="shared" si="20"/>
        <v>498905.58469572058</v>
      </c>
      <c r="AU21">
        <f t="shared" si="31"/>
        <v>41059929.620457806</v>
      </c>
      <c r="AV21" s="29">
        <f t="shared" si="32"/>
        <v>3298425.8658488914</v>
      </c>
      <c r="AW21" s="25">
        <f t="shared" si="21"/>
        <v>1.1499999999999999</v>
      </c>
      <c r="AX21" s="31">
        <f t="shared" si="22"/>
        <v>1</v>
      </c>
      <c r="AY21" s="31">
        <f t="shared" si="23"/>
        <v>0</v>
      </c>
    </row>
    <row r="22" spans="1:51" ht="15.75" x14ac:dyDescent="0.25">
      <c r="A22" t="s">
        <v>38</v>
      </c>
      <c r="B22" t="s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4">
        <v>80</v>
      </c>
      <c r="J22">
        <v>0</v>
      </c>
      <c r="K22" s="10">
        <v>0</v>
      </c>
      <c r="L22" s="4">
        <f>G22*H22*$N$5/1000</f>
        <v>0</v>
      </c>
      <c r="M22" s="4">
        <f>L22*$N$7</f>
        <v>0</v>
      </c>
      <c r="N22" s="7">
        <v>0</v>
      </c>
      <c r="O22" s="7">
        <v>0</v>
      </c>
      <c r="P22" s="20">
        <f t="shared" si="3"/>
        <v>0</v>
      </c>
      <c r="Q22" s="20" t="s">
        <v>111</v>
      </c>
      <c r="R22" s="7">
        <f t="shared" ref="R22" si="34">J22*365</f>
        <v>0</v>
      </c>
      <c r="S22" s="7">
        <f t="shared" si="4"/>
        <v>0</v>
      </c>
      <c r="T22" s="7">
        <f t="shared" si="5"/>
        <v>0</v>
      </c>
      <c r="U22" s="28"/>
      <c r="V22" s="28"/>
      <c r="W22" s="28">
        <f t="shared" si="28"/>
        <v>0</v>
      </c>
      <c r="X22" s="29">
        <f t="shared" si="8"/>
        <v>0</v>
      </c>
      <c r="Y22" s="21">
        <f t="shared" si="33"/>
        <v>-3380.1229716002208</v>
      </c>
      <c r="Z22" s="18"/>
      <c r="AA22" s="18"/>
      <c r="AB22" s="18"/>
      <c r="AC22">
        <f t="shared" si="9"/>
        <v>4659.2515944154693</v>
      </c>
      <c r="AD22" s="19">
        <f t="shared" si="10"/>
        <v>282.7502370480903</v>
      </c>
      <c r="AE22" s="18">
        <f t="shared" si="11"/>
        <v>22620.018963847222</v>
      </c>
      <c r="AF22" s="18">
        <f t="shared" si="12"/>
        <v>22620.018963847222</v>
      </c>
      <c r="AG22" s="21">
        <f t="shared" si="13"/>
        <v>0</v>
      </c>
      <c r="AH22" s="18"/>
      <c r="AI22" s="18">
        <f t="shared" si="14"/>
        <v>282.7502370480903</v>
      </c>
      <c r="AJ22" s="21">
        <f t="shared" si="15"/>
        <v>-3380.1229716002208</v>
      </c>
      <c r="AK22" s="16"/>
      <c r="AL22" s="22">
        <f t="shared" si="16"/>
        <v>0</v>
      </c>
      <c r="AM22" s="22">
        <f t="shared" si="17"/>
        <v>1</v>
      </c>
      <c r="AN22" s="22">
        <f t="shared" si="29"/>
        <v>1</v>
      </c>
      <c r="AO22" s="16"/>
      <c r="AP22" s="22" t="e">
        <f>#REF!/#REF!</f>
        <v>#REF!</v>
      </c>
      <c r="AQ22" s="22">
        <f t="shared" si="18"/>
        <v>1</v>
      </c>
      <c r="AR22" s="22" t="e">
        <f t="shared" si="30"/>
        <v>#REF!</v>
      </c>
      <c r="AS22">
        <f t="shared" si="19"/>
        <v>0</v>
      </c>
      <c r="AT22">
        <f t="shared" si="20"/>
        <v>0</v>
      </c>
      <c r="AU22">
        <f t="shared" si="31"/>
        <v>0</v>
      </c>
      <c r="AV22" s="29">
        <f t="shared" si="32"/>
        <v>0</v>
      </c>
      <c r="AW22" s="25" t="e">
        <f t="shared" si="21"/>
        <v>#DIV/0!</v>
      </c>
      <c r="AX22" s="31"/>
      <c r="AY22" s="31"/>
    </row>
    <row r="23" spans="1:51" x14ac:dyDescent="0.25">
      <c r="AE23" s="18"/>
    </row>
    <row r="26" spans="1:51" ht="31.5" x14ac:dyDescent="0.25">
      <c r="AF26" s="33" t="s">
        <v>122</v>
      </c>
    </row>
    <row r="27" spans="1:51" x14ac:dyDescent="0.25">
      <c r="AF27" s="32">
        <f>NPV(AI5/100,AF12,AF12,AF12,AF12,AF12,AF12,AF12,AF12,AF12,AF12,AF12,AF12,AF12,AF12,AF12,AF12,AF12,AF12,AF12,AF12,AF12,AF12,AF12,AF12,AF12)/AI2</f>
        <v>47136.97884266109</v>
      </c>
    </row>
  </sheetData>
  <mergeCells count="2">
    <mergeCell ref="AL10:AN10"/>
    <mergeCell ref="AP10:AR10"/>
  </mergeCells>
  <hyperlinks>
    <hyperlink ref="H1" r:id="rId1" xr:uid="{DFF3DF5F-3931-3548-8F41-B4AE803F3D8C}"/>
  </hyperlinks>
  <pageMargins left="0.7" right="0.7" top="0.75" bottom="0.75" header="0.3" footer="0.3"/>
  <pageSetup orientation="portrait" horizontalDpi="1200" verticalDpi="1200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Paul</vt:lpstr>
      <vt:lpstr>MUSA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IGB</dc:creator>
  <cp:lastModifiedBy>Bijesh Mishra</cp:lastModifiedBy>
  <dcterms:created xsi:type="dcterms:W3CDTF">2015-06-05T18:17:20Z</dcterms:created>
  <dcterms:modified xsi:type="dcterms:W3CDTF">2024-06-24T19:34:32Z</dcterms:modified>
</cp:coreProperties>
</file>